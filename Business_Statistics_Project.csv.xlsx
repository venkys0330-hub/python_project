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k\Downloads\"/>
    </mc:Choice>
  </mc:AlternateContent>
  <xr:revisionPtr revIDLastSave="0" documentId="13_ncr:1_{7C3EBC30-7813-428F-A67E-FAA6E29459BC}" xr6:coauthVersionLast="47" xr6:coauthVersionMax="47" xr10:uidLastSave="{00000000-0000-0000-0000-000000000000}"/>
  <bookViews>
    <workbookView xWindow="-110" yWindow="-110" windowWidth="19420" windowHeight="10300" activeTab="2" xr2:uid="{AB127576-6924-452B-8FCD-C06C6B52EF69}"/>
  </bookViews>
  <sheets>
    <sheet name="Business_Statistics_Project" sheetId="1" r:id="rId1"/>
    <sheet name=" Data Distribution" sheetId="2" r:id="rId2"/>
    <sheet name="Probability" sheetId="3" r:id="rId3"/>
    <sheet name="Inferential Statistics" sheetId="4" r:id="rId4"/>
  </sheets>
  <definedNames>
    <definedName name="_xlchart.v1.0" hidden="1">' Data Distribution'!$K$2:$K$37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" i="4" l="1"/>
  <c r="AA6" i="4"/>
  <c r="Z5" i="4"/>
  <c r="V2" i="4"/>
  <c r="R6" i="4" a="1"/>
  <c r="R6" i="4" s="1"/>
  <c r="Q6" i="4" a="1"/>
  <c r="Q6" i="4" s="1"/>
  <c r="Q5" i="4"/>
  <c r="R5" i="4"/>
  <c r="Q4" i="4"/>
  <c r="Q3" i="4"/>
  <c r="Q2" i="4" a="1"/>
  <c r="Q2" i="4" s="1"/>
  <c r="AA27" i="3"/>
  <c r="AD23" i="3"/>
  <c r="W25" i="3"/>
  <c r="Q29" i="3"/>
  <c r="P29" i="3"/>
  <c r="O29" i="3"/>
  <c r="O27" i="3"/>
  <c r="O26" i="3"/>
  <c r="P25" i="3"/>
  <c r="O25" i="3"/>
  <c r="AW3" i="2"/>
  <c r="AT3" i="2"/>
  <c r="AA3" i="2"/>
  <c r="Z3" i="2"/>
  <c r="Y3" i="2"/>
  <c r="X3" i="2"/>
  <c r="W3" i="2"/>
  <c r="S3" i="2"/>
  <c r="R3" i="2"/>
  <c r="Q3" i="2"/>
  <c r="P3" i="2"/>
  <c r="O3" i="2"/>
  <c r="O17" i="1"/>
  <c r="O18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<sst xmlns="http://schemas.openxmlformats.org/spreadsheetml/2006/main" count="1158" uniqueCount="118">
  <si>
    <t>Region</t>
  </si>
  <si>
    <t>Therapeutic_Area</t>
  </si>
  <si>
    <t>Product</t>
  </si>
  <si>
    <t>Gender</t>
  </si>
  <si>
    <t>Product_Type</t>
  </si>
  <si>
    <t>Customer_Type</t>
  </si>
  <si>
    <t>Distributor</t>
  </si>
  <si>
    <t>Quantity</t>
  </si>
  <si>
    <t>Unit_Price_EUR</t>
  </si>
  <si>
    <t>Discount_Rate</t>
  </si>
  <si>
    <t>Revenue_EUR</t>
  </si>
  <si>
    <t>Dublin</t>
  </si>
  <si>
    <t>Cardiovascular</t>
  </si>
  <si>
    <t>HSE Generic Medicines</t>
  </si>
  <si>
    <t>Male</t>
  </si>
  <si>
    <t>Medicine Category</t>
  </si>
  <si>
    <t>Hospital</t>
  </si>
  <si>
    <t>Apex Pharma</t>
  </si>
  <si>
    <t>Cork</t>
  </si>
  <si>
    <t>Diabetes</t>
  </si>
  <si>
    <t>Flu Vaccine</t>
  </si>
  <si>
    <t>Female</t>
  </si>
  <si>
    <t>Pharmacy</t>
  </si>
  <si>
    <t>GreenCare</t>
  </si>
  <si>
    <t>Galway</t>
  </si>
  <si>
    <t>Respiratory</t>
  </si>
  <si>
    <t>COVID-19 Booster</t>
  </si>
  <si>
    <t>MediPlus</t>
  </si>
  <si>
    <t>Insulin</t>
  </si>
  <si>
    <t>Limerick</t>
  </si>
  <si>
    <t>Antibiotic</t>
  </si>
  <si>
    <t>Asthma Inhaler</t>
  </si>
  <si>
    <t>HealthFirst</t>
  </si>
  <si>
    <t>Blood Pressure Tablets</t>
  </si>
  <si>
    <t>Antibiotics</t>
  </si>
  <si>
    <t>Pain Relief</t>
  </si>
  <si>
    <t>Mean</t>
  </si>
  <si>
    <t>Median</t>
  </si>
  <si>
    <t>Count observation</t>
  </si>
  <si>
    <t>Random sample</t>
  </si>
  <si>
    <t>Range</t>
  </si>
  <si>
    <t>max-min</t>
  </si>
  <si>
    <t>Variance</t>
  </si>
  <si>
    <t>Standard Deviation</t>
  </si>
  <si>
    <t>Quartiles</t>
  </si>
  <si>
    <t>Q1 = 25%</t>
  </si>
  <si>
    <t>Q2 = 50% = Median</t>
  </si>
  <si>
    <t>Q3 = 75%</t>
  </si>
  <si>
    <t>Percentiles</t>
  </si>
  <si>
    <t>(K2:K37,0.25)</t>
  </si>
  <si>
    <t>50)</t>
  </si>
  <si>
    <t>75)</t>
  </si>
  <si>
    <t>IQR</t>
  </si>
  <si>
    <t>Q3-Q1</t>
  </si>
  <si>
    <t>Outliers</t>
  </si>
  <si>
    <t>Q1 − 1.5 × IQR</t>
  </si>
  <si>
    <t>Q3 + 1.5 × IQR</t>
  </si>
  <si>
    <t xml:space="preserve"> Descriptive Statistics</t>
  </si>
  <si>
    <t>Frequency Distribution</t>
  </si>
  <si>
    <t>A</t>
  </si>
  <si>
    <t>Revenue Range</t>
  </si>
  <si>
    <t>1200–1899</t>
  </si>
  <si>
    <t>1900–2599</t>
  </si>
  <si>
    <t>2600–3299</t>
  </si>
  <si>
    <t>3300–3999</t>
  </si>
  <si>
    <t>4000–4699</t>
  </si>
  <si>
    <t>4700–5399</t>
  </si>
  <si>
    <t>Relative Frequency</t>
  </si>
  <si>
    <t>?</t>
  </si>
  <si>
    <t>B2</t>
  </si>
  <si>
    <t>Cumulative Frequency</t>
  </si>
  <si>
    <t>1200–1899.99</t>
  </si>
  <si>
    <t>1900–2599.99</t>
  </si>
  <si>
    <t>2600–3299.99</t>
  </si>
  <si>
    <t>3300–3999.99</t>
  </si>
  <si>
    <t>4000–4699.99</t>
  </si>
  <si>
    <r>
      <t>First:</t>
    </r>
    <r>
      <rPr>
        <sz val="11"/>
        <color theme="1"/>
        <rFont val="Calibri"/>
        <family val="2"/>
        <scheme val="minor"/>
      </rPr>
      <t xml:space="preserve"> 12</t>
    </r>
  </si>
  <si>
    <r>
      <t>Next:</t>
    </r>
    <r>
      <rPr>
        <sz val="11"/>
        <color theme="1"/>
        <rFont val="Calibri"/>
        <family val="2"/>
        <scheme val="minor"/>
      </rPr>
      <t xml:space="preserve"> 12 + 8 = 20</t>
    </r>
  </si>
  <si>
    <t>Histogram</t>
  </si>
  <si>
    <t>Skewness</t>
  </si>
  <si>
    <t>Z-Score</t>
  </si>
  <si>
    <t>Basic Probability</t>
  </si>
  <si>
    <t>Addition Rule</t>
  </si>
  <si>
    <t>Independent Events</t>
  </si>
  <si>
    <t>Event A: Customer = Hospital</t>
  </si>
  <si>
    <t>Event B: Gender = Male</t>
  </si>
  <si>
    <t>H</t>
  </si>
  <si>
    <t>M</t>
  </si>
  <si>
    <t>Cumulative Probability</t>
  </si>
  <si>
    <t>Cell</t>
  </si>
  <si>
    <t>Type</t>
  </si>
  <si>
    <t>M1</t>
  </si>
  <si>
    <t>Revenue</t>
  </si>
  <si>
    <t>N1</t>
  </si>
  <si>
    <t>M2</t>
  </si>
  <si>
    <t>Conditional Probability</t>
  </si>
  <si>
    <t>M4</t>
  </si>
  <si>
    <t>N4</t>
  </si>
  <si>
    <t>Q4</t>
  </si>
  <si>
    <t>CP</t>
  </si>
  <si>
    <t>Bayes' Theorem</t>
  </si>
  <si>
    <t>Male + Hospital → 9</t>
  </si>
  <si>
    <t>Total Male → 18</t>
  </si>
  <si>
    <t>9 ÷ 18 = 50%</t>
  </si>
  <si>
    <t>Sampling Distribution</t>
  </si>
  <si>
    <t>Central Limit Theorem</t>
  </si>
  <si>
    <t>Standard Error</t>
  </si>
  <si>
    <t>P-Value</t>
  </si>
  <si>
    <t>Two-Sample Test</t>
  </si>
  <si>
    <t>Covariance</t>
  </si>
  <si>
    <t>Enter</t>
  </si>
  <si>
    <t>A1</t>
  </si>
  <si>
    <t>Relationship Between Variables</t>
  </si>
  <si>
    <t>A3</t>
  </si>
  <si>
    <t>B3</t>
  </si>
  <si>
    <t>COVARIANCE.S(H2:H37,K2:K37)</t>
  </si>
  <si>
    <t>Correlation</t>
  </si>
  <si>
    <t>Simple 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</si>
</sst>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/>
    <xf numFmtId="0" fontId="14" fillId="0" borderId="0" xfId="0" applyFont="1"/>
    <xf numFmtId="0" fontId="20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22" fillId="0" borderId="0" xfId="0" applyFont="1"/>
    <xf numFmtId="10" fontId="0" fillId="0" borderId="0" xfId="0" applyNumberForma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23" fillId="0" borderId="0" xfId="0" applyFont="1"/>
    <xf numFmtId="0" fontId="0" fillId="0" borderId="0" xfId="0" applyFont="1"/>
    <xf numFmtId="9" fontId="0" fillId="0" borderId="0" xfId="42" applyFont="1"/>
    <xf numFmtId="0" fontId="0" fillId="0" borderId="0" xfId="0" applyFont="1" applyAlignment="1">
      <alignment horizontal="center" vertical="center" wrapText="1"/>
    </xf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11940105847425"/>
          <c:y val="0.16973264969785753"/>
          <c:w val="0.79127404156447656"/>
          <c:h val="0.72726840123245462"/>
        </c:manualLayout>
      </c:layout>
      <c:bubbleChart>
        <c:varyColors val="0"/>
        <c:ser>
          <c:idx val="0"/>
          <c:order val="0"/>
          <c:tx>
            <c:strRef>
              <c:f>'Inferential Statistics'!$M$1</c:f>
              <c:strCache>
                <c:ptCount val="1"/>
                <c:pt idx="0">
                  <c:v>Revenue_EUR</c:v>
                </c:pt>
              </c:strCache>
            </c:strRef>
          </c:tx>
          <c:spPr>
            <a:gradFill>
              <a:gsLst>
                <a:gs pos="0">
                  <a:schemeClr val="accent1">
                    <a:alpha val="75000"/>
                  </a:schemeClr>
                </a:gs>
                <a:gs pos="100000">
                  <a:schemeClr val="accent1">
                    <a:lumMod val="75000"/>
                    <a:alpha val="75000"/>
                  </a:schemeClr>
                </a:gs>
              </a:gsLst>
              <a:lin ang="27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'Inferential Statistics'!$L$2:$L$41</c:f>
              <c:numCache>
                <c:formatCode>General</c:formatCode>
                <c:ptCount val="40"/>
                <c:pt idx="0">
                  <c:v>120</c:v>
                </c:pt>
                <c:pt idx="1">
                  <c:v>210</c:v>
                </c:pt>
                <c:pt idx="2">
                  <c:v>175</c:v>
                </c:pt>
                <c:pt idx="3">
                  <c:v>145</c:v>
                </c:pt>
                <c:pt idx="4">
                  <c:v>260</c:v>
                </c:pt>
                <c:pt idx="5">
                  <c:v>95</c:v>
                </c:pt>
                <c:pt idx="6">
                  <c:v>130</c:v>
                </c:pt>
                <c:pt idx="7">
                  <c:v>190</c:v>
                </c:pt>
                <c:pt idx="8">
                  <c:v>225</c:v>
                </c:pt>
                <c:pt idx="9">
                  <c:v>280</c:v>
                </c:pt>
                <c:pt idx="10">
                  <c:v>205</c:v>
                </c:pt>
                <c:pt idx="11">
                  <c:v>160</c:v>
                </c:pt>
                <c:pt idx="12">
                  <c:v>310</c:v>
                </c:pt>
                <c:pt idx="13">
                  <c:v>110</c:v>
                </c:pt>
                <c:pt idx="14">
                  <c:v>240</c:v>
                </c:pt>
                <c:pt idx="15">
                  <c:v>155</c:v>
                </c:pt>
                <c:pt idx="16">
                  <c:v>235</c:v>
                </c:pt>
                <c:pt idx="17">
                  <c:v>180</c:v>
                </c:pt>
                <c:pt idx="18">
                  <c:v>295</c:v>
                </c:pt>
                <c:pt idx="19">
                  <c:v>220</c:v>
                </c:pt>
                <c:pt idx="20">
                  <c:v>275</c:v>
                </c:pt>
                <c:pt idx="21">
                  <c:v>105</c:v>
                </c:pt>
                <c:pt idx="22">
                  <c:v>250</c:v>
                </c:pt>
                <c:pt idx="23">
                  <c:v>140</c:v>
                </c:pt>
                <c:pt idx="24">
                  <c:v>170</c:v>
                </c:pt>
                <c:pt idx="25">
                  <c:v>245</c:v>
                </c:pt>
                <c:pt idx="26">
                  <c:v>320</c:v>
                </c:pt>
                <c:pt idx="27">
                  <c:v>265</c:v>
                </c:pt>
                <c:pt idx="28">
                  <c:v>230</c:v>
                </c:pt>
                <c:pt idx="29">
                  <c:v>125</c:v>
                </c:pt>
                <c:pt idx="30">
                  <c:v>290</c:v>
                </c:pt>
                <c:pt idx="31">
                  <c:v>150</c:v>
                </c:pt>
                <c:pt idx="32">
                  <c:v>195</c:v>
                </c:pt>
                <c:pt idx="33">
                  <c:v>215</c:v>
                </c:pt>
                <c:pt idx="34">
                  <c:v>305</c:v>
                </c:pt>
                <c:pt idx="35">
                  <c:v>275</c:v>
                </c:pt>
              </c:numCache>
            </c:numRef>
          </c:xVal>
          <c:yVal>
            <c:numRef>
              <c:f>'Inferential Statistics'!$M$2:$M$41</c:f>
              <c:numCache>
                <c:formatCode>General</c:formatCode>
                <c:ptCount val="40"/>
                <c:pt idx="0">
                  <c:v>2042.4</c:v>
                </c:pt>
                <c:pt idx="1">
                  <c:v>1236.9000000000001</c:v>
                </c:pt>
                <c:pt idx="2">
                  <c:v>1594.95</c:v>
                </c:pt>
                <c:pt idx="3">
                  <c:v>1553.82</c:v>
                </c:pt>
                <c:pt idx="4">
                  <c:v>1755</c:v>
                </c:pt>
                <c:pt idx="5">
                  <c:v>3790.5</c:v>
                </c:pt>
                <c:pt idx="6">
                  <c:v>2631.2</c:v>
                </c:pt>
                <c:pt idx="7">
                  <c:v>2385.4499999999998</c:v>
                </c:pt>
                <c:pt idx="8">
                  <c:v>3787.88</c:v>
                </c:pt>
                <c:pt idx="9">
                  <c:v>1631.84</c:v>
                </c:pt>
                <c:pt idx="10">
                  <c:v>1908.55</c:v>
                </c:pt>
                <c:pt idx="11">
                  <c:v>1678.08</c:v>
                </c:pt>
                <c:pt idx="12">
                  <c:v>2046</c:v>
                </c:pt>
                <c:pt idx="13">
                  <c:v>4342.8</c:v>
                </c:pt>
                <c:pt idx="14">
                  <c:v>3996</c:v>
                </c:pt>
                <c:pt idx="15">
                  <c:v>3171.3</c:v>
                </c:pt>
                <c:pt idx="16">
                  <c:v>2886.98</c:v>
                </c:pt>
                <c:pt idx="17">
                  <c:v>1887.84</c:v>
                </c:pt>
                <c:pt idx="18">
                  <c:v>1719.26</c:v>
                </c:pt>
                <c:pt idx="19">
                  <c:v>1983.52</c:v>
                </c:pt>
                <c:pt idx="20">
                  <c:v>1856.25</c:v>
                </c:pt>
                <c:pt idx="21">
                  <c:v>4189.5</c:v>
                </c:pt>
                <c:pt idx="22">
                  <c:v>4208.75</c:v>
                </c:pt>
                <c:pt idx="23">
                  <c:v>2864.4</c:v>
                </c:pt>
                <c:pt idx="24">
                  <c:v>1782.96</c:v>
                </c:pt>
                <c:pt idx="25">
                  <c:v>2976.75</c:v>
                </c:pt>
                <c:pt idx="26">
                  <c:v>1864.96</c:v>
                </c:pt>
                <c:pt idx="27">
                  <c:v>4461.28</c:v>
                </c:pt>
                <c:pt idx="28">
                  <c:v>2096.2199999999998</c:v>
                </c:pt>
                <c:pt idx="29">
                  <c:v>4987.5</c:v>
                </c:pt>
                <c:pt idx="30">
                  <c:v>1935.75</c:v>
                </c:pt>
                <c:pt idx="31">
                  <c:v>3102</c:v>
                </c:pt>
                <c:pt idx="32">
                  <c:v>2045.16</c:v>
                </c:pt>
                <c:pt idx="33">
                  <c:v>2641.28</c:v>
                </c:pt>
                <c:pt idx="34">
                  <c:v>1758.63</c:v>
                </c:pt>
                <c:pt idx="35">
                  <c:v>4578.75</c:v>
                </c:pt>
              </c:numCache>
            </c:numRef>
          </c:yVal>
          <c:bubbleSize>
            <c:numLit>
              <c:formatCode>General</c:formatCode>
              <c:ptCount val="4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EB2C-4295-A426-88BA5ADB91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303581391"/>
        <c:axId val="1142725743"/>
      </c:bubbleChart>
      <c:valAx>
        <c:axId val="130358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dk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25743"/>
        <c:crosses val="autoZero"/>
        <c:crossBetween val="midCat"/>
      </c:valAx>
      <c:valAx>
        <c:axId val="114272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dk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581391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rgbClr val="FFFF00"/>
                </a:solidFill>
              </a:defRPr>
            </a:pPr>
            <a:r>
              <a:rPr lang="en-IN">
                <a:solidFill>
                  <a:srgbClr val="FFFF00"/>
                </a:solidFill>
              </a:rPr>
              <a:t>Histogram of Revenue Distribution</a:t>
            </a:r>
            <a:r>
              <a:rPr lang="en-US" sz="1600" b="1" i="0" u="none" strike="noStrike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rt Title</a:t>
            </a:r>
          </a:p>
        </cx:rich>
      </cx:tx>
    </cx:title>
    <cx:plotArea>
      <cx:plotAreaRegion>
        <cx:series layoutId="clusteredColumn" uniqueId="{00000000-BB3A-45B0-8B0F-C35FD90A0E2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3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>
        <a:solidFill>
          <a:schemeClr val="dk1">
            <a:lumMod val="25000"/>
            <a:lumOff val="75000"/>
          </a:schemeClr>
        </a:solidFill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0">
            <a:schemeClr val="phClr">
              <a:alpha val="75000"/>
            </a:schemeClr>
          </a:gs>
          <a:gs pos="100000">
            <a:schemeClr val="phClr">
              <a:lumMod val="75000"/>
              <a:alpha val="75000"/>
            </a:schemeClr>
          </a:gs>
        </a:gsLst>
        <a:lin ang="27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0">
            <a:schemeClr val="phClr">
              <a:alpha val="75000"/>
            </a:schemeClr>
          </a:gs>
          <a:gs pos="100000">
            <a:schemeClr val="phClr">
              <a:lumMod val="75000"/>
              <a:alpha val="75000"/>
            </a:schemeClr>
          </a:gs>
        </a:gsLst>
        <a:lin ang="2700000" scaled="1"/>
      </a:gra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50000"/>
        <a:lumOff val="50000"/>
      </a:schemeClr>
    </cs:fontRef>
    <cs:spPr>
      <a:ln>
        <a:solidFill>
          <a:schemeClr val="dk1">
            <a:lumMod val="25000"/>
            <a:lumOff val="7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>
        <a:solidFill>
          <a:schemeClr val="dk1">
            <a:lumMod val="25000"/>
            <a:lumOff val="75000"/>
          </a:schemeClr>
        </a:solidFill>
      </a:ln>
    </cs:spPr>
    <cs:defRPr sz="900" kern="1200"/>
    <cs:bodyPr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302086</xdr:colOff>
      <xdr:row>3</xdr:row>
      <xdr:rowOff>191117</xdr:rowOff>
    </xdr:from>
    <xdr:to>
      <xdr:col>42</xdr:col>
      <xdr:colOff>240437</xdr:colOff>
      <xdr:row>11</xdr:row>
      <xdr:rowOff>178663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7E765C-E4CB-5FB2-D87B-B0B03542C2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58036" y="743567"/>
              <a:ext cx="2986351" cy="2749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203200</xdr:colOff>
      <xdr:row>6</xdr:row>
      <xdr:rowOff>38100</xdr:rowOff>
    </xdr:from>
    <xdr:to>
      <xdr:col>21</xdr:col>
      <xdr:colOff>171450</xdr:colOff>
      <xdr:row>21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1BC1A-9EF8-10D1-333F-2068886BA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E261-A35D-4CA9-89A8-31EB11D98C4B}">
  <dimension ref="A1:Q37"/>
  <sheetViews>
    <sheetView topLeftCell="C25" zoomScale="114" workbookViewId="0">
      <selection activeCell="M33" sqref="M33"/>
    </sheetView>
  </sheetViews>
  <sheetFormatPr defaultRowHeight="14.5" x14ac:dyDescent="0.35"/>
  <cols>
    <col min="2" max="2" width="15.7265625" customWidth="1"/>
    <col min="3" max="3" width="20.08984375" customWidth="1"/>
    <col min="4" max="4" width="10.26953125" customWidth="1"/>
    <col min="5" max="5" width="17.1796875" customWidth="1"/>
    <col min="6" max="6" width="14.26953125" customWidth="1"/>
    <col min="7" max="7" width="14.1796875" customWidth="1"/>
    <col min="9" max="9" width="14.26953125" customWidth="1"/>
    <col min="10" max="10" width="13.1796875" customWidth="1"/>
    <col min="11" max="11" width="13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120</v>
      </c>
      <c r="I2">
        <v>18.5</v>
      </c>
      <c r="J2">
        <v>0.08</v>
      </c>
      <c r="K2">
        <v>2042.4</v>
      </c>
      <c r="N2" s="3" t="s">
        <v>57</v>
      </c>
    </row>
    <row r="3" spans="1:17" x14ac:dyDescent="0.3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>
        <v>210</v>
      </c>
      <c r="I3">
        <v>6.2</v>
      </c>
      <c r="J3">
        <v>0.05</v>
      </c>
      <c r="K3">
        <v>1236.9000000000001</v>
      </c>
      <c r="N3" t="s">
        <v>38</v>
      </c>
      <c r="O3">
        <f>COUNT(K2:K37)</f>
        <v>36</v>
      </c>
    </row>
    <row r="4" spans="1:17" x14ac:dyDescent="0.35">
      <c r="A4" t="s">
        <v>24</v>
      </c>
      <c r="B4" t="s">
        <v>25</v>
      </c>
      <c r="C4" t="s">
        <v>26</v>
      </c>
      <c r="D4" t="s">
        <v>14</v>
      </c>
      <c r="E4" t="s">
        <v>15</v>
      </c>
      <c r="F4" t="s">
        <v>22</v>
      </c>
      <c r="G4" t="s">
        <v>27</v>
      </c>
      <c r="H4">
        <v>175</v>
      </c>
      <c r="I4">
        <v>9.8000000000000007</v>
      </c>
      <c r="J4">
        <v>7.0000000000000007E-2</v>
      </c>
      <c r="K4">
        <v>1594.95</v>
      </c>
      <c r="N4" t="s">
        <v>39</v>
      </c>
      <c r="O4">
        <f ca="1">RAND()</f>
        <v>0.3015713540670063</v>
      </c>
    </row>
    <row r="5" spans="1:17" x14ac:dyDescent="0.35">
      <c r="A5" t="s">
        <v>11</v>
      </c>
      <c r="B5" t="s">
        <v>12</v>
      </c>
      <c r="C5" t="s">
        <v>28</v>
      </c>
      <c r="D5" t="s">
        <v>21</v>
      </c>
      <c r="E5" t="s">
        <v>15</v>
      </c>
      <c r="F5" t="s">
        <v>16</v>
      </c>
      <c r="G5" t="s">
        <v>17</v>
      </c>
      <c r="H5">
        <v>145</v>
      </c>
      <c r="I5">
        <v>11.4</v>
      </c>
      <c r="J5">
        <v>0.06</v>
      </c>
      <c r="K5">
        <v>1553.82</v>
      </c>
      <c r="N5" t="s">
        <v>36</v>
      </c>
      <c r="O5">
        <f>AVERAGE(K2:K37)</f>
        <v>2649.4558333333339</v>
      </c>
    </row>
    <row r="6" spans="1:17" x14ac:dyDescent="0.3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22</v>
      </c>
      <c r="G6" t="s">
        <v>32</v>
      </c>
      <c r="H6">
        <v>260</v>
      </c>
      <c r="I6">
        <v>7.5</v>
      </c>
      <c r="J6">
        <v>0.1</v>
      </c>
      <c r="K6">
        <v>1755</v>
      </c>
      <c r="N6" t="s">
        <v>37</v>
      </c>
      <c r="O6">
        <f>MEDIAN(K2:K37)</f>
        <v>2071.1099999999997</v>
      </c>
    </row>
    <row r="7" spans="1:17" x14ac:dyDescent="0.35">
      <c r="A7" t="s">
        <v>18</v>
      </c>
      <c r="B7" t="s">
        <v>19</v>
      </c>
      <c r="C7" t="s">
        <v>33</v>
      </c>
      <c r="D7" t="s">
        <v>21</v>
      </c>
      <c r="E7" t="s">
        <v>15</v>
      </c>
      <c r="F7" t="s">
        <v>16</v>
      </c>
      <c r="G7" t="s">
        <v>23</v>
      </c>
      <c r="H7">
        <v>95</v>
      </c>
      <c r="I7">
        <v>42</v>
      </c>
      <c r="J7">
        <v>0.05</v>
      </c>
      <c r="K7">
        <v>3790.5</v>
      </c>
      <c r="N7" t="s">
        <v>40</v>
      </c>
      <c r="O7">
        <f>MAX(K2:K37)-MIN(K2:K37)</f>
        <v>3750.6</v>
      </c>
      <c r="P7" s="1" t="s">
        <v>41</v>
      </c>
    </row>
    <row r="8" spans="1:17" x14ac:dyDescent="0.35">
      <c r="A8" t="s">
        <v>11</v>
      </c>
      <c r="B8" t="s">
        <v>25</v>
      </c>
      <c r="C8" t="s">
        <v>34</v>
      </c>
      <c r="D8" t="s">
        <v>14</v>
      </c>
      <c r="E8" t="s">
        <v>15</v>
      </c>
      <c r="F8" t="s">
        <v>16</v>
      </c>
      <c r="G8" t="s">
        <v>27</v>
      </c>
      <c r="H8">
        <v>130</v>
      </c>
      <c r="I8">
        <v>22</v>
      </c>
      <c r="J8">
        <v>0.08</v>
      </c>
      <c r="K8">
        <v>2631.2</v>
      </c>
      <c r="N8" t="s">
        <v>42</v>
      </c>
      <c r="O8">
        <f>_xlfn.VAR.S(K2:K37)</f>
        <v>1129626.1492421415</v>
      </c>
    </row>
    <row r="9" spans="1:17" x14ac:dyDescent="0.35">
      <c r="A9" t="s">
        <v>24</v>
      </c>
      <c r="B9" t="s">
        <v>30</v>
      </c>
      <c r="C9" t="s">
        <v>35</v>
      </c>
      <c r="D9" t="s">
        <v>21</v>
      </c>
      <c r="E9" t="s">
        <v>15</v>
      </c>
      <c r="F9" t="s">
        <v>22</v>
      </c>
      <c r="G9" t="s">
        <v>32</v>
      </c>
      <c r="H9">
        <v>190</v>
      </c>
      <c r="I9">
        <v>13.5</v>
      </c>
      <c r="J9">
        <v>7.0000000000000007E-2</v>
      </c>
      <c r="K9">
        <v>2385.4499999999998</v>
      </c>
      <c r="M9" t="s">
        <v>43</v>
      </c>
      <c r="O9">
        <f>_xlfn.STDEV.S(K2:K37)</f>
        <v>1062.8387221221014</v>
      </c>
    </row>
    <row r="10" spans="1:17" x14ac:dyDescent="0.35">
      <c r="A10" t="s">
        <v>29</v>
      </c>
      <c r="B10" t="s">
        <v>12</v>
      </c>
      <c r="C10" t="s">
        <v>13</v>
      </c>
      <c r="D10" t="s">
        <v>14</v>
      </c>
      <c r="E10" t="s">
        <v>15</v>
      </c>
      <c r="F10" t="s">
        <v>22</v>
      </c>
      <c r="G10" t="s">
        <v>17</v>
      </c>
      <c r="H10">
        <v>225</v>
      </c>
      <c r="I10">
        <v>18.5</v>
      </c>
      <c r="J10">
        <v>0.09</v>
      </c>
      <c r="K10">
        <v>3787.88</v>
      </c>
      <c r="N10" t="s">
        <v>44</v>
      </c>
      <c r="O10">
        <f>_xlfn.QUARTILE.INC(K2:K37,1)</f>
        <v>1837.9275</v>
      </c>
      <c r="P10" s="1" t="s">
        <v>45</v>
      </c>
    </row>
    <row r="11" spans="1:17" x14ac:dyDescent="0.35">
      <c r="A11" t="s">
        <v>11</v>
      </c>
      <c r="B11" t="s">
        <v>19</v>
      </c>
      <c r="C11" t="s">
        <v>20</v>
      </c>
      <c r="D11" t="s">
        <v>21</v>
      </c>
      <c r="E11" t="s">
        <v>15</v>
      </c>
      <c r="F11" t="s">
        <v>16</v>
      </c>
      <c r="G11" t="s">
        <v>23</v>
      </c>
      <c r="H11">
        <v>280</v>
      </c>
      <c r="I11">
        <v>6.2</v>
      </c>
      <c r="J11">
        <v>0.06</v>
      </c>
      <c r="K11">
        <v>1631.84</v>
      </c>
      <c r="O11">
        <f>_xlfn.QUARTILE.INC(K2:K37,2)</f>
        <v>2071.1099999999997</v>
      </c>
      <c r="P11" s="1" t="s">
        <v>46</v>
      </c>
      <c r="Q11" s="2"/>
    </row>
    <row r="12" spans="1:17" x14ac:dyDescent="0.35">
      <c r="A12" t="s">
        <v>18</v>
      </c>
      <c r="B12" t="s">
        <v>25</v>
      </c>
      <c r="C12" t="s">
        <v>26</v>
      </c>
      <c r="D12" t="s">
        <v>14</v>
      </c>
      <c r="E12" t="s">
        <v>15</v>
      </c>
      <c r="F12" t="s">
        <v>22</v>
      </c>
      <c r="G12" t="s">
        <v>27</v>
      </c>
      <c r="H12">
        <v>205</v>
      </c>
      <c r="I12">
        <v>9.8000000000000007</v>
      </c>
      <c r="J12">
        <v>0.05</v>
      </c>
      <c r="K12">
        <v>1908.55</v>
      </c>
      <c r="O12">
        <f>_xlfn.QUARTILE.INC(K2:K37,3)</f>
        <v>3325.4450000000002</v>
      </c>
      <c r="P12" s="1" t="s">
        <v>47</v>
      </c>
    </row>
    <row r="13" spans="1:17" x14ac:dyDescent="0.35">
      <c r="A13" t="s">
        <v>24</v>
      </c>
      <c r="B13" t="s">
        <v>12</v>
      </c>
      <c r="C13" t="s">
        <v>28</v>
      </c>
      <c r="D13" t="s">
        <v>21</v>
      </c>
      <c r="E13" t="s">
        <v>15</v>
      </c>
      <c r="F13" t="s">
        <v>16</v>
      </c>
      <c r="G13" t="s">
        <v>17</v>
      </c>
      <c r="H13">
        <v>160</v>
      </c>
      <c r="I13">
        <v>11.4</v>
      </c>
      <c r="J13">
        <v>0.08</v>
      </c>
      <c r="K13">
        <v>1678.08</v>
      </c>
      <c r="N13" t="s">
        <v>48</v>
      </c>
      <c r="O13">
        <f>_xlfn.PERCENTILE.INC(K2:K37,0.25)</f>
        <v>1837.9275</v>
      </c>
      <c r="P13" s="1" t="s">
        <v>49</v>
      </c>
    </row>
    <row r="14" spans="1:17" x14ac:dyDescent="0.35">
      <c r="A14" t="s">
        <v>29</v>
      </c>
      <c r="B14" t="s">
        <v>30</v>
      </c>
      <c r="C14" t="s">
        <v>31</v>
      </c>
      <c r="D14" t="s">
        <v>14</v>
      </c>
      <c r="E14" t="s">
        <v>15</v>
      </c>
      <c r="F14" t="s">
        <v>22</v>
      </c>
      <c r="G14" t="s">
        <v>32</v>
      </c>
      <c r="H14">
        <v>310</v>
      </c>
      <c r="I14">
        <v>7.5</v>
      </c>
      <c r="J14">
        <v>0.12</v>
      </c>
      <c r="K14">
        <v>2046</v>
      </c>
      <c r="O14">
        <f>_xlfn.PERCENTILE.INC(K2:K37,0.5)</f>
        <v>2071.1099999999997</v>
      </c>
      <c r="P14" s="1" t="s">
        <v>49</v>
      </c>
      <c r="Q14" s="1" t="s">
        <v>50</v>
      </c>
    </row>
    <row r="15" spans="1:17" x14ac:dyDescent="0.35">
      <c r="A15" t="s">
        <v>11</v>
      </c>
      <c r="B15" t="s">
        <v>19</v>
      </c>
      <c r="C15" t="s">
        <v>33</v>
      </c>
      <c r="D15" t="s">
        <v>21</v>
      </c>
      <c r="E15" t="s">
        <v>15</v>
      </c>
      <c r="F15" t="s">
        <v>16</v>
      </c>
      <c r="G15" t="s">
        <v>23</v>
      </c>
      <c r="H15">
        <v>110</v>
      </c>
      <c r="I15">
        <v>42</v>
      </c>
      <c r="J15">
        <v>0.06</v>
      </c>
      <c r="K15">
        <v>4342.8</v>
      </c>
      <c r="O15">
        <f>_xlfn.PERCENTILE.INC(K2:K37,0.75)</f>
        <v>3325.4450000000002</v>
      </c>
      <c r="P15" s="1" t="s">
        <v>49</v>
      </c>
      <c r="Q15" s="1" t="s">
        <v>51</v>
      </c>
    </row>
    <row r="16" spans="1:17" x14ac:dyDescent="0.35">
      <c r="A16" t="s">
        <v>18</v>
      </c>
      <c r="B16" t="s">
        <v>12</v>
      </c>
      <c r="C16" t="s">
        <v>34</v>
      </c>
      <c r="D16" t="s">
        <v>14</v>
      </c>
      <c r="E16" t="s">
        <v>15</v>
      </c>
      <c r="F16" t="s">
        <v>22</v>
      </c>
      <c r="G16" t="s">
        <v>17</v>
      </c>
      <c r="H16">
        <v>240</v>
      </c>
      <c r="I16">
        <v>18.5</v>
      </c>
      <c r="J16">
        <v>0.1</v>
      </c>
      <c r="K16">
        <v>3996</v>
      </c>
      <c r="N16" t="s">
        <v>52</v>
      </c>
      <c r="O16">
        <f>_xlfn.QUARTILE.INC(K2:K37,3)-_xlfn.QUARTILE.INC(K2:K37,1)</f>
        <v>1487.5175000000002</v>
      </c>
      <c r="P16" s="1" t="s">
        <v>53</v>
      </c>
    </row>
    <row r="17" spans="1:16" x14ac:dyDescent="0.35">
      <c r="A17" t="s">
        <v>24</v>
      </c>
      <c r="B17" t="s">
        <v>25</v>
      </c>
      <c r="C17" t="s">
        <v>35</v>
      </c>
      <c r="D17" t="s">
        <v>21</v>
      </c>
      <c r="E17" t="s">
        <v>15</v>
      </c>
      <c r="F17" t="s">
        <v>16</v>
      </c>
      <c r="G17" t="s">
        <v>27</v>
      </c>
      <c r="H17">
        <v>155</v>
      </c>
      <c r="I17">
        <v>22</v>
      </c>
      <c r="J17">
        <v>7.0000000000000007E-2</v>
      </c>
      <c r="K17">
        <v>3171.3</v>
      </c>
      <c r="N17" t="s">
        <v>54</v>
      </c>
      <c r="O17">
        <f>O8-1.5*O12</f>
        <v>1124637.9817421415</v>
      </c>
      <c r="P17" s="1" t="s">
        <v>55</v>
      </c>
    </row>
    <row r="18" spans="1:16" x14ac:dyDescent="0.35">
      <c r="A18" t="s">
        <v>11</v>
      </c>
      <c r="B18" t="s">
        <v>30</v>
      </c>
      <c r="C18" t="s">
        <v>13</v>
      </c>
      <c r="D18" t="s">
        <v>14</v>
      </c>
      <c r="E18" t="s">
        <v>15</v>
      </c>
      <c r="F18" t="s">
        <v>22</v>
      </c>
      <c r="G18" t="s">
        <v>32</v>
      </c>
      <c r="H18">
        <v>235</v>
      </c>
      <c r="I18">
        <v>13.5</v>
      </c>
      <c r="J18">
        <v>0.09</v>
      </c>
      <c r="K18">
        <v>2886.98</v>
      </c>
      <c r="O18">
        <f>O10+1.5*O12</f>
        <v>6826.0950000000003</v>
      </c>
      <c r="P18" s="1" t="s">
        <v>56</v>
      </c>
    </row>
    <row r="19" spans="1:16" x14ac:dyDescent="0.35">
      <c r="A19" t="s">
        <v>29</v>
      </c>
      <c r="B19" t="s">
        <v>12</v>
      </c>
      <c r="C19" t="s">
        <v>20</v>
      </c>
      <c r="D19" t="s">
        <v>21</v>
      </c>
      <c r="E19" t="s">
        <v>15</v>
      </c>
      <c r="F19" t="s">
        <v>16</v>
      </c>
      <c r="G19" t="s">
        <v>17</v>
      </c>
      <c r="H19">
        <v>180</v>
      </c>
      <c r="I19">
        <v>11.4</v>
      </c>
      <c r="J19">
        <v>0.08</v>
      </c>
      <c r="K19">
        <v>1887.84</v>
      </c>
    </row>
    <row r="20" spans="1:16" x14ac:dyDescent="0.35">
      <c r="A20" t="s">
        <v>18</v>
      </c>
      <c r="B20" t="s">
        <v>19</v>
      </c>
      <c r="C20" t="s">
        <v>26</v>
      </c>
      <c r="D20" t="s">
        <v>14</v>
      </c>
      <c r="E20" t="s">
        <v>15</v>
      </c>
      <c r="F20" t="s">
        <v>22</v>
      </c>
      <c r="G20" t="s">
        <v>23</v>
      </c>
      <c r="H20">
        <v>295</v>
      </c>
      <c r="I20">
        <v>6.2</v>
      </c>
      <c r="J20">
        <v>0.06</v>
      </c>
      <c r="K20">
        <v>1719.26</v>
      </c>
    </row>
    <row r="21" spans="1:16" x14ac:dyDescent="0.35">
      <c r="A21" t="s">
        <v>11</v>
      </c>
      <c r="B21" t="s">
        <v>25</v>
      </c>
      <c r="C21" t="s">
        <v>28</v>
      </c>
      <c r="D21" t="s">
        <v>21</v>
      </c>
      <c r="E21" t="s">
        <v>15</v>
      </c>
      <c r="F21" t="s">
        <v>22</v>
      </c>
      <c r="G21" t="s">
        <v>27</v>
      </c>
      <c r="H21">
        <v>220</v>
      </c>
      <c r="I21">
        <v>9.8000000000000007</v>
      </c>
      <c r="J21">
        <v>0.08</v>
      </c>
      <c r="K21">
        <v>1983.52</v>
      </c>
    </row>
    <row r="22" spans="1:16" x14ac:dyDescent="0.35">
      <c r="A22" t="s">
        <v>24</v>
      </c>
      <c r="B22" t="s">
        <v>30</v>
      </c>
      <c r="C22" t="s">
        <v>31</v>
      </c>
      <c r="D22" t="s">
        <v>14</v>
      </c>
      <c r="E22" t="s">
        <v>15</v>
      </c>
      <c r="F22" t="s">
        <v>22</v>
      </c>
      <c r="G22" t="s">
        <v>32</v>
      </c>
      <c r="H22">
        <v>275</v>
      </c>
      <c r="I22">
        <v>7.5</v>
      </c>
      <c r="J22">
        <v>0.1</v>
      </c>
      <c r="K22">
        <v>1856.25</v>
      </c>
    </row>
    <row r="23" spans="1:16" x14ac:dyDescent="0.35">
      <c r="A23" t="s">
        <v>29</v>
      </c>
      <c r="B23" t="s">
        <v>19</v>
      </c>
      <c r="C23" t="s">
        <v>33</v>
      </c>
      <c r="D23" t="s">
        <v>21</v>
      </c>
      <c r="E23" t="s">
        <v>15</v>
      </c>
      <c r="F23" t="s">
        <v>16</v>
      </c>
      <c r="G23" t="s">
        <v>23</v>
      </c>
      <c r="H23">
        <v>105</v>
      </c>
      <c r="I23">
        <v>42</v>
      </c>
      <c r="J23">
        <v>0.05</v>
      </c>
      <c r="K23">
        <v>4189.5</v>
      </c>
    </row>
    <row r="24" spans="1:16" x14ac:dyDescent="0.35">
      <c r="A24" t="s">
        <v>11</v>
      </c>
      <c r="B24" t="s">
        <v>12</v>
      </c>
      <c r="C24" t="s">
        <v>34</v>
      </c>
      <c r="D24" t="s">
        <v>14</v>
      </c>
      <c r="E24" t="s">
        <v>15</v>
      </c>
      <c r="F24" t="s">
        <v>16</v>
      </c>
      <c r="G24" t="s">
        <v>17</v>
      </c>
      <c r="H24">
        <v>250</v>
      </c>
      <c r="I24">
        <v>18.5</v>
      </c>
      <c r="J24">
        <v>0.09</v>
      </c>
      <c r="K24">
        <v>4208.75</v>
      </c>
    </row>
    <row r="25" spans="1:16" x14ac:dyDescent="0.35">
      <c r="A25" t="s">
        <v>18</v>
      </c>
      <c r="B25" t="s">
        <v>25</v>
      </c>
      <c r="C25" t="s">
        <v>35</v>
      </c>
      <c r="D25" t="s">
        <v>21</v>
      </c>
      <c r="E25" t="s">
        <v>15</v>
      </c>
      <c r="F25" t="s">
        <v>16</v>
      </c>
      <c r="G25" t="s">
        <v>27</v>
      </c>
      <c r="H25">
        <v>140</v>
      </c>
      <c r="I25">
        <v>22</v>
      </c>
      <c r="J25">
        <v>7.0000000000000007E-2</v>
      </c>
      <c r="K25">
        <v>2864.4</v>
      </c>
    </row>
    <row r="26" spans="1:16" x14ac:dyDescent="0.35">
      <c r="A26" t="s">
        <v>24</v>
      </c>
      <c r="B26" t="s">
        <v>12</v>
      </c>
      <c r="C26" t="s">
        <v>13</v>
      </c>
      <c r="D26" t="s">
        <v>14</v>
      </c>
      <c r="E26" t="s">
        <v>15</v>
      </c>
      <c r="F26" t="s">
        <v>22</v>
      </c>
      <c r="G26" t="s">
        <v>17</v>
      </c>
      <c r="H26">
        <v>170</v>
      </c>
      <c r="I26">
        <v>11.4</v>
      </c>
      <c r="J26">
        <v>0.08</v>
      </c>
      <c r="K26">
        <v>1782.96</v>
      </c>
    </row>
    <row r="27" spans="1:16" x14ac:dyDescent="0.35">
      <c r="A27" t="s">
        <v>11</v>
      </c>
      <c r="B27" t="s">
        <v>30</v>
      </c>
      <c r="C27" t="s">
        <v>20</v>
      </c>
      <c r="D27" t="s">
        <v>21</v>
      </c>
      <c r="E27" t="s">
        <v>15</v>
      </c>
      <c r="F27" t="s">
        <v>22</v>
      </c>
      <c r="G27" t="s">
        <v>32</v>
      </c>
      <c r="H27">
        <v>245</v>
      </c>
      <c r="I27">
        <v>13.5</v>
      </c>
      <c r="J27">
        <v>0.1</v>
      </c>
      <c r="K27">
        <v>2976.75</v>
      </c>
    </row>
    <row r="28" spans="1:16" x14ac:dyDescent="0.35">
      <c r="A28" t="s">
        <v>29</v>
      </c>
      <c r="B28" t="s">
        <v>19</v>
      </c>
      <c r="C28" t="s">
        <v>26</v>
      </c>
      <c r="D28" t="s">
        <v>14</v>
      </c>
      <c r="E28" t="s">
        <v>15</v>
      </c>
      <c r="F28" t="s">
        <v>22</v>
      </c>
      <c r="G28" t="s">
        <v>23</v>
      </c>
      <c r="H28">
        <v>320</v>
      </c>
      <c r="I28">
        <v>6.2</v>
      </c>
      <c r="J28">
        <v>0.06</v>
      </c>
      <c r="K28">
        <v>1864.96</v>
      </c>
    </row>
    <row r="29" spans="1:16" x14ac:dyDescent="0.35">
      <c r="A29" t="s">
        <v>18</v>
      </c>
      <c r="B29" t="s">
        <v>12</v>
      </c>
      <c r="C29" t="s">
        <v>28</v>
      </c>
      <c r="D29" t="s">
        <v>21</v>
      </c>
      <c r="E29" t="s">
        <v>15</v>
      </c>
      <c r="F29" t="s">
        <v>16</v>
      </c>
      <c r="G29" t="s">
        <v>17</v>
      </c>
      <c r="H29">
        <v>265</v>
      </c>
      <c r="I29">
        <v>18.5</v>
      </c>
      <c r="J29">
        <v>0.09</v>
      </c>
      <c r="K29">
        <v>4461.28</v>
      </c>
    </row>
    <row r="30" spans="1:16" x14ac:dyDescent="0.35">
      <c r="A30" t="s">
        <v>24</v>
      </c>
      <c r="B30" t="s">
        <v>25</v>
      </c>
      <c r="C30" t="s">
        <v>31</v>
      </c>
      <c r="D30" t="s">
        <v>14</v>
      </c>
      <c r="E30" t="s">
        <v>15</v>
      </c>
      <c r="F30" t="s">
        <v>22</v>
      </c>
      <c r="G30" t="s">
        <v>27</v>
      </c>
      <c r="H30">
        <v>230</v>
      </c>
      <c r="I30">
        <v>9.8000000000000007</v>
      </c>
      <c r="J30">
        <v>7.0000000000000007E-2</v>
      </c>
      <c r="K30">
        <v>2096.2199999999998</v>
      </c>
    </row>
    <row r="31" spans="1:16" x14ac:dyDescent="0.35">
      <c r="A31" t="s">
        <v>11</v>
      </c>
      <c r="B31" t="s">
        <v>19</v>
      </c>
      <c r="C31" t="s">
        <v>33</v>
      </c>
      <c r="D31" t="s">
        <v>21</v>
      </c>
      <c r="E31" t="s">
        <v>15</v>
      </c>
      <c r="F31" t="s">
        <v>16</v>
      </c>
      <c r="G31" t="s">
        <v>23</v>
      </c>
      <c r="H31">
        <v>125</v>
      </c>
      <c r="I31">
        <v>42</v>
      </c>
      <c r="J31">
        <v>0.05</v>
      </c>
      <c r="K31">
        <v>4987.5</v>
      </c>
    </row>
    <row r="32" spans="1:16" x14ac:dyDescent="0.35">
      <c r="A32" t="s">
        <v>29</v>
      </c>
      <c r="B32" t="s">
        <v>30</v>
      </c>
      <c r="C32" t="s">
        <v>34</v>
      </c>
      <c r="D32" t="s">
        <v>14</v>
      </c>
      <c r="E32" t="s">
        <v>15</v>
      </c>
      <c r="F32" t="s">
        <v>22</v>
      </c>
      <c r="G32" t="s">
        <v>32</v>
      </c>
      <c r="H32">
        <v>290</v>
      </c>
      <c r="I32">
        <v>7.5</v>
      </c>
      <c r="J32">
        <v>0.11</v>
      </c>
      <c r="K32">
        <v>1935.75</v>
      </c>
    </row>
    <row r="33" spans="1:13" x14ac:dyDescent="0.35">
      <c r="A33" t="s">
        <v>18</v>
      </c>
      <c r="B33" t="s">
        <v>25</v>
      </c>
      <c r="C33" t="s">
        <v>35</v>
      </c>
      <c r="D33" t="s">
        <v>21</v>
      </c>
      <c r="E33" t="s">
        <v>15</v>
      </c>
      <c r="F33" t="s">
        <v>16</v>
      </c>
      <c r="G33" t="s">
        <v>27</v>
      </c>
      <c r="H33">
        <v>150</v>
      </c>
      <c r="I33">
        <v>22</v>
      </c>
      <c r="J33">
        <v>0.06</v>
      </c>
      <c r="K33">
        <v>3102</v>
      </c>
    </row>
    <row r="34" spans="1:13" x14ac:dyDescent="0.3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>
        <v>195</v>
      </c>
      <c r="I34">
        <v>11.4</v>
      </c>
      <c r="J34">
        <v>0.08</v>
      </c>
      <c r="K34">
        <v>2045.16</v>
      </c>
    </row>
    <row r="35" spans="1:13" x14ac:dyDescent="0.35">
      <c r="A35" t="s">
        <v>24</v>
      </c>
      <c r="B35" t="s">
        <v>30</v>
      </c>
      <c r="C35" t="s">
        <v>20</v>
      </c>
      <c r="D35" t="s">
        <v>21</v>
      </c>
      <c r="E35" t="s">
        <v>15</v>
      </c>
      <c r="F35" t="s">
        <v>22</v>
      </c>
      <c r="G35" t="s">
        <v>32</v>
      </c>
      <c r="H35">
        <v>215</v>
      </c>
      <c r="I35">
        <v>13.5</v>
      </c>
      <c r="J35">
        <v>0.09</v>
      </c>
      <c r="K35">
        <v>2641.28</v>
      </c>
      <c r="M35" s="5"/>
    </row>
    <row r="36" spans="1:13" x14ac:dyDescent="0.35">
      <c r="A36" t="s">
        <v>29</v>
      </c>
      <c r="B36" t="s">
        <v>19</v>
      </c>
      <c r="C36" t="s">
        <v>26</v>
      </c>
      <c r="D36" t="s">
        <v>14</v>
      </c>
      <c r="E36" t="s">
        <v>15</v>
      </c>
      <c r="F36" t="s">
        <v>22</v>
      </c>
      <c r="G36" t="s">
        <v>23</v>
      </c>
      <c r="H36">
        <v>305</v>
      </c>
      <c r="I36">
        <v>6.2</v>
      </c>
      <c r="J36">
        <v>7.0000000000000007E-2</v>
      </c>
      <c r="K36">
        <v>1758.63</v>
      </c>
    </row>
    <row r="37" spans="1:13" x14ac:dyDescent="0.35">
      <c r="A37" t="s">
        <v>11</v>
      </c>
      <c r="B37" t="s">
        <v>12</v>
      </c>
      <c r="C37" t="s">
        <v>28</v>
      </c>
      <c r="D37" t="s">
        <v>21</v>
      </c>
      <c r="E37" t="s">
        <v>15</v>
      </c>
      <c r="F37" t="s">
        <v>16</v>
      </c>
      <c r="G37" t="s">
        <v>17</v>
      </c>
      <c r="H37">
        <v>275</v>
      </c>
      <c r="I37">
        <v>18.5</v>
      </c>
      <c r="J37">
        <v>0.1</v>
      </c>
      <c r="K37">
        <v>4578.75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E290-5751-4462-8959-3E7FC1CFDF67}">
  <dimension ref="A1:AW37"/>
  <sheetViews>
    <sheetView topLeftCell="AH1" zoomScale="87" workbookViewId="0">
      <selection activeCell="E44" sqref="E44"/>
    </sheetView>
  </sheetViews>
  <sheetFormatPr defaultRowHeight="14.5" x14ac:dyDescent="0.35"/>
  <cols>
    <col min="2" max="2" width="16.08984375" customWidth="1"/>
    <col min="3" max="3" width="22.36328125" customWidth="1"/>
    <col min="5" max="5" width="17" customWidth="1"/>
    <col min="6" max="6" width="14.08984375" customWidth="1"/>
    <col min="7" max="7" width="12.81640625" customWidth="1"/>
    <col min="9" max="9" width="14.36328125" customWidth="1"/>
    <col min="10" max="10" width="13.7265625" customWidth="1"/>
    <col min="11" max="11" width="12.81640625" customWidth="1"/>
    <col min="12" max="12" width="12.1796875" customWidth="1"/>
    <col min="14" max="14" width="20.08984375" customWidth="1"/>
    <col min="15" max="15" width="13.36328125" customWidth="1"/>
    <col min="21" max="21" width="13" customWidth="1"/>
    <col min="22" max="22" width="13.7265625" customWidth="1"/>
    <col min="32" max="32" width="12.453125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49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120</v>
      </c>
      <c r="I2">
        <v>18.5</v>
      </c>
      <c r="J2">
        <v>0.08</v>
      </c>
      <c r="K2">
        <v>2042.4</v>
      </c>
      <c r="N2" s="4"/>
      <c r="O2" s="4"/>
    </row>
    <row r="3" spans="1:49" x14ac:dyDescent="0.3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>
        <v>210</v>
      </c>
      <c r="I3">
        <v>6.2</v>
      </c>
      <c r="J3">
        <v>0.05</v>
      </c>
      <c r="K3">
        <v>1236.9000000000001</v>
      </c>
      <c r="N3" t="s">
        <v>58</v>
      </c>
      <c r="O3" s="10">
        <f>COUNTIFS($K$2:$K$37,"&gt;=1200",$K$2:$K$37,"&lt;1900")</f>
        <v>12</v>
      </c>
      <c r="P3" s="10">
        <f>COUNTIFS($K$2:$K$37,"&gt;=1900",$K$2:$K$37,"&lt;2600")</f>
        <v>8</v>
      </c>
      <c r="Q3" s="10">
        <f>COUNTIFS($K$2:$K$37,"&gt;=2600",$K$2:$K$37,"&lt;3300")</f>
        <v>7</v>
      </c>
      <c r="R3" s="10">
        <f>COUNTIFS($K$2:$K$37,"&gt;=3300",$K$2:$K$37,"&lt;4000")</f>
        <v>3</v>
      </c>
      <c r="S3" s="10">
        <f>COUNTIFS($K$2:$K$37,"&gt;=4000",$K$2:$K$37,"&lt;4700")</f>
        <v>5</v>
      </c>
      <c r="U3" t="s">
        <v>67</v>
      </c>
      <c r="W3" s="1">
        <f>12/COUNT($K$2:$K$37)</f>
        <v>0.33333333333333331</v>
      </c>
      <c r="X3" s="1">
        <f>8/COUNT($K$2:$K$37)</f>
        <v>0.22222222222222221</v>
      </c>
      <c r="Y3" s="1">
        <f>7/COUNT($K$2:$K$37)</f>
        <v>0.19444444444444445</v>
      </c>
      <c r="Z3" s="1">
        <f>3/COUNT($K$2:$K$37)</f>
        <v>8.3333333333333329E-2</v>
      </c>
      <c r="AA3" s="1">
        <f>5/COUNT($K$2:$K$37)</f>
        <v>0.1388888888888889</v>
      </c>
      <c r="AC3" t="s">
        <v>70</v>
      </c>
      <c r="AF3" s="14">
        <v>12</v>
      </c>
      <c r="AG3" s="14">
        <v>20</v>
      </c>
      <c r="AH3" s="14">
        <v>27</v>
      </c>
      <c r="AI3" s="14">
        <v>30</v>
      </c>
      <c r="AJ3" s="14">
        <v>35</v>
      </c>
      <c r="AN3" t="s">
        <v>78</v>
      </c>
      <c r="AS3" t="s">
        <v>79</v>
      </c>
      <c r="AT3">
        <f>SKEW(K2:K37)</f>
        <v>0.76622408146659782</v>
      </c>
      <c r="AV3" s="15" t="s">
        <v>80</v>
      </c>
      <c r="AW3">
        <f>(K2-AVERAGE($K$2:$K$37))/_xlfn.STDEV.S($K$2:$K$37)</f>
        <v>-0.57116458094532407</v>
      </c>
    </row>
    <row r="4" spans="1:49" ht="43.5" x14ac:dyDescent="0.35">
      <c r="A4" t="s">
        <v>24</v>
      </c>
      <c r="B4" t="s">
        <v>25</v>
      </c>
      <c r="C4" t="s">
        <v>26</v>
      </c>
      <c r="D4" t="s">
        <v>14</v>
      </c>
      <c r="E4" t="s">
        <v>15</v>
      </c>
      <c r="F4" t="s">
        <v>22</v>
      </c>
      <c r="G4" t="s">
        <v>27</v>
      </c>
      <c r="H4">
        <v>175</v>
      </c>
      <c r="I4">
        <v>9.8000000000000007</v>
      </c>
      <c r="J4">
        <v>7.0000000000000007E-2</v>
      </c>
      <c r="K4">
        <v>1594.95</v>
      </c>
      <c r="N4" s="6" t="s">
        <v>59</v>
      </c>
      <c r="O4" s="6" t="s">
        <v>69</v>
      </c>
      <c r="U4" s="6" t="s">
        <v>60</v>
      </c>
      <c r="V4" s="9" t="s">
        <v>69</v>
      </c>
      <c r="W4" s="9" t="s">
        <v>67</v>
      </c>
      <c r="AC4" s="6" t="s">
        <v>60</v>
      </c>
      <c r="AD4" s="9" t="s">
        <v>69</v>
      </c>
      <c r="AE4" s="9" t="s">
        <v>67</v>
      </c>
      <c r="AF4" s="9" t="s">
        <v>70</v>
      </c>
      <c r="AG4" s="9"/>
    </row>
    <row r="5" spans="1:49" ht="29" x14ac:dyDescent="0.35">
      <c r="A5" t="s">
        <v>11</v>
      </c>
      <c r="B5" t="s">
        <v>12</v>
      </c>
      <c r="C5" t="s">
        <v>28</v>
      </c>
      <c r="D5" t="s">
        <v>21</v>
      </c>
      <c r="E5" t="s">
        <v>15</v>
      </c>
      <c r="F5" t="s">
        <v>16</v>
      </c>
      <c r="G5" t="s">
        <v>17</v>
      </c>
      <c r="H5">
        <v>145</v>
      </c>
      <c r="I5">
        <v>11.4</v>
      </c>
      <c r="J5">
        <v>0.06</v>
      </c>
      <c r="K5">
        <v>1553.82</v>
      </c>
      <c r="N5" s="7" t="s">
        <v>60</v>
      </c>
      <c r="O5" s="7"/>
      <c r="U5" s="7" t="s">
        <v>61</v>
      </c>
      <c r="V5" s="8">
        <v>12</v>
      </c>
      <c r="W5" s="8"/>
      <c r="AC5" s="7" t="s">
        <v>71</v>
      </c>
      <c r="AD5" s="8">
        <v>12</v>
      </c>
      <c r="AE5" s="11">
        <v>0.33329999999999999</v>
      </c>
      <c r="AF5" s="8"/>
      <c r="AG5" s="8"/>
    </row>
    <row r="6" spans="1:49" ht="29" x14ac:dyDescent="0.3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22</v>
      </c>
      <c r="G6" t="s">
        <v>32</v>
      </c>
      <c r="H6">
        <v>260</v>
      </c>
      <c r="I6">
        <v>7.5</v>
      </c>
      <c r="J6">
        <v>0.1</v>
      </c>
      <c r="K6">
        <v>1755</v>
      </c>
      <c r="N6" s="7" t="s">
        <v>61</v>
      </c>
      <c r="O6" s="7"/>
      <c r="U6" s="7" t="s">
        <v>62</v>
      </c>
      <c r="V6" s="8">
        <v>8</v>
      </c>
      <c r="W6" s="12" t="s">
        <v>68</v>
      </c>
      <c r="AC6" s="7" t="s">
        <v>72</v>
      </c>
      <c r="AD6" s="8">
        <v>8</v>
      </c>
      <c r="AE6" s="11">
        <v>0.22220000000000001</v>
      </c>
      <c r="AF6" s="8"/>
      <c r="AG6" s="8"/>
    </row>
    <row r="7" spans="1:49" ht="29" x14ac:dyDescent="0.35">
      <c r="A7" t="s">
        <v>18</v>
      </c>
      <c r="B7" t="s">
        <v>19</v>
      </c>
      <c r="C7" t="s">
        <v>33</v>
      </c>
      <c r="D7" t="s">
        <v>21</v>
      </c>
      <c r="E7" t="s">
        <v>15</v>
      </c>
      <c r="F7" t="s">
        <v>16</v>
      </c>
      <c r="G7" t="s">
        <v>23</v>
      </c>
      <c r="H7">
        <v>95</v>
      </c>
      <c r="I7">
        <v>42</v>
      </c>
      <c r="J7">
        <v>0.05</v>
      </c>
      <c r="K7">
        <v>3790.5</v>
      </c>
      <c r="N7" s="7" t="s">
        <v>62</v>
      </c>
      <c r="O7" s="13" t="s">
        <v>68</v>
      </c>
      <c r="U7" s="7" t="s">
        <v>63</v>
      </c>
      <c r="V7" s="8">
        <v>7</v>
      </c>
      <c r="W7" s="8"/>
      <c r="AC7" s="7" t="s">
        <v>73</v>
      </c>
      <c r="AD7" s="8">
        <v>7</v>
      </c>
      <c r="AE7" s="11">
        <v>0.19439999999999999</v>
      </c>
      <c r="AF7" s="12" t="s">
        <v>68</v>
      </c>
      <c r="AG7" s="8"/>
    </row>
    <row r="8" spans="1:49" ht="29" x14ac:dyDescent="0.35">
      <c r="A8" t="s">
        <v>11</v>
      </c>
      <c r="B8" t="s">
        <v>25</v>
      </c>
      <c r="C8" t="s">
        <v>34</v>
      </c>
      <c r="D8" t="s">
        <v>14</v>
      </c>
      <c r="E8" t="s">
        <v>15</v>
      </c>
      <c r="F8" t="s">
        <v>16</v>
      </c>
      <c r="G8" t="s">
        <v>27</v>
      </c>
      <c r="H8">
        <v>130</v>
      </c>
      <c r="I8">
        <v>22</v>
      </c>
      <c r="J8">
        <v>0.08</v>
      </c>
      <c r="K8">
        <v>2631.2</v>
      </c>
      <c r="N8" s="7" t="s">
        <v>63</v>
      </c>
      <c r="O8" s="7"/>
      <c r="U8" s="7" t="s">
        <v>64</v>
      </c>
      <c r="V8" s="8">
        <v>3</v>
      </c>
      <c r="W8" s="8"/>
      <c r="AC8" s="7" t="s">
        <v>74</v>
      </c>
      <c r="AD8" s="8">
        <v>3</v>
      </c>
      <c r="AE8" s="11">
        <v>8.3299999999999999E-2</v>
      </c>
      <c r="AF8" s="8"/>
      <c r="AG8" s="8"/>
    </row>
    <row r="9" spans="1:49" ht="29" x14ac:dyDescent="0.35">
      <c r="A9" t="s">
        <v>24</v>
      </c>
      <c r="B9" t="s">
        <v>30</v>
      </c>
      <c r="C9" t="s">
        <v>35</v>
      </c>
      <c r="D9" t="s">
        <v>21</v>
      </c>
      <c r="E9" t="s">
        <v>15</v>
      </c>
      <c r="F9" t="s">
        <v>22</v>
      </c>
      <c r="G9" t="s">
        <v>32</v>
      </c>
      <c r="H9">
        <v>190</v>
      </c>
      <c r="I9">
        <v>13.5</v>
      </c>
      <c r="J9">
        <v>7.0000000000000007E-2</v>
      </c>
      <c r="K9">
        <v>2385.4499999999998</v>
      </c>
      <c r="N9" s="7" t="s">
        <v>64</v>
      </c>
      <c r="O9" s="7"/>
      <c r="U9" s="7" t="s">
        <v>65</v>
      </c>
      <c r="V9" s="8">
        <v>5</v>
      </c>
      <c r="W9" s="8"/>
      <c r="AC9" s="7" t="s">
        <v>75</v>
      </c>
      <c r="AD9" s="8">
        <v>5</v>
      </c>
      <c r="AE9" s="11">
        <v>0.1389</v>
      </c>
      <c r="AF9" s="8"/>
      <c r="AG9" s="2" t="s">
        <v>76</v>
      </c>
    </row>
    <row r="10" spans="1:49" x14ac:dyDescent="0.35">
      <c r="A10" t="s">
        <v>29</v>
      </c>
      <c r="B10" t="s">
        <v>12</v>
      </c>
      <c r="C10" t="s">
        <v>13</v>
      </c>
      <c r="D10" t="s">
        <v>14</v>
      </c>
      <c r="E10" t="s">
        <v>15</v>
      </c>
      <c r="F10" t="s">
        <v>22</v>
      </c>
      <c r="G10" t="s">
        <v>17</v>
      </c>
      <c r="H10">
        <v>225</v>
      </c>
      <c r="I10">
        <v>18.5</v>
      </c>
      <c r="J10">
        <v>0.09</v>
      </c>
      <c r="K10">
        <v>3787.88</v>
      </c>
      <c r="N10" s="7" t="s">
        <v>65</v>
      </c>
      <c r="O10" s="7"/>
      <c r="U10" s="7"/>
      <c r="V10" s="8"/>
      <c r="W10" s="8"/>
      <c r="AC10" s="7"/>
      <c r="AD10" s="8"/>
      <c r="AE10" s="11"/>
      <c r="AF10" s="8"/>
    </row>
    <row r="11" spans="1:49" x14ac:dyDescent="0.35">
      <c r="A11" t="s">
        <v>11</v>
      </c>
      <c r="B11" t="s">
        <v>19</v>
      </c>
      <c r="C11" t="s">
        <v>20</v>
      </c>
      <c r="D11" t="s">
        <v>21</v>
      </c>
      <c r="E11" t="s">
        <v>15</v>
      </c>
      <c r="F11" t="s">
        <v>16</v>
      </c>
      <c r="G11" t="s">
        <v>23</v>
      </c>
      <c r="H11">
        <v>280</v>
      </c>
      <c r="I11">
        <v>6.2</v>
      </c>
      <c r="J11">
        <v>0.06</v>
      </c>
      <c r="K11">
        <v>1631.84</v>
      </c>
      <c r="N11" s="7" t="s">
        <v>66</v>
      </c>
      <c r="O11" s="7"/>
      <c r="AG11" s="2" t="s">
        <v>77</v>
      </c>
    </row>
    <row r="12" spans="1:49" x14ac:dyDescent="0.35">
      <c r="A12" t="s">
        <v>18</v>
      </c>
      <c r="B12" t="s">
        <v>25</v>
      </c>
      <c r="C12" t="s">
        <v>26</v>
      </c>
      <c r="D12" t="s">
        <v>14</v>
      </c>
      <c r="E12" t="s">
        <v>15</v>
      </c>
      <c r="F12" t="s">
        <v>22</v>
      </c>
      <c r="G12" t="s">
        <v>27</v>
      </c>
      <c r="H12">
        <v>205</v>
      </c>
      <c r="I12">
        <v>9.8000000000000007</v>
      </c>
      <c r="J12">
        <v>0.05</v>
      </c>
      <c r="K12">
        <v>1908.55</v>
      </c>
    </row>
    <row r="13" spans="1:49" x14ac:dyDescent="0.35">
      <c r="A13" t="s">
        <v>24</v>
      </c>
      <c r="B13" t="s">
        <v>12</v>
      </c>
      <c r="C13" t="s">
        <v>28</v>
      </c>
      <c r="D13" t="s">
        <v>21</v>
      </c>
      <c r="E13" t="s">
        <v>15</v>
      </c>
      <c r="F13" t="s">
        <v>16</v>
      </c>
      <c r="G13" t="s">
        <v>17</v>
      </c>
      <c r="H13">
        <v>160</v>
      </c>
      <c r="I13">
        <v>11.4</v>
      </c>
      <c r="J13">
        <v>0.08</v>
      </c>
      <c r="K13">
        <v>1678.08</v>
      </c>
    </row>
    <row r="14" spans="1:49" x14ac:dyDescent="0.35">
      <c r="A14" t="s">
        <v>29</v>
      </c>
      <c r="B14" t="s">
        <v>30</v>
      </c>
      <c r="C14" t="s">
        <v>31</v>
      </c>
      <c r="D14" t="s">
        <v>14</v>
      </c>
      <c r="E14" t="s">
        <v>15</v>
      </c>
      <c r="F14" t="s">
        <v>22</v>
      </c>
      <c r="G14" t="s">
        <v>32</v>
      </c>
      <c r="H14">
        <v>310</v>
      </c>
      <c r="I14">
        <v>7.5</v>
      </c>
      <c r="J14">
        <v>0.12</v>
      </c>
      <c r="K14">
        <v>2046</v>
      </c>
    </row>
    <row r="15" spans="1:49" x14ac:dyDescent="0.35">
      <c r="A15" t="s">
        <v>11</v>
      </c>
      <c r="B15" t="s">
        <v>19</v>
      </c>
      <c r="C15" t="s">
        <v>33</v>
      </c>
      <c r="D15" t="s">
        <v>21</v>
      </c>
      <c r="E15" t="s">
        <v>15</v>
      </c>
      <c r="F15" t="s">
        <v>16</v>
      </c>
      <c r="G15" t="s">
        <v>23</v>
      </c>
      <c r="H15">
        <v>110</v>
      </c>
      <c r="I15">
        <v>42</v>
      </c>
      <c r="J15">
        <v>0.06</v>
      </c>
      <c r="K15">
        <v>4342.8</v>
      </c>
    </row>
    <row r="16" spans="1:49" x14ac:dyDescent="0.35">
      <c r="A16" t="s">
        <v>18</v>
      </c>
      <c r="B16" t="s">
        <v>12</v>
      </c>
      <c r="C16" t="s">
        <v>34</v>
      </c>
      <c r="D16" t="s">
        <v>14</v>
      </c>
      <c r="E16" t="s">
        <v>15</v>
      </c>
      <c r="F16" t="s">
        <v>22</v>
      </c>
      <c r="G16" t="s">
        <v>17</v>
      </c>
      <c r="H16">
        <v>240</v>
      </c>
      <c r="I16">
        <v>18.5</v>
      </c>
      <c r="J16">
        <v>0.1</v>
      </c>
      <c r="K16">
        <v>3996</v>
      </c>
    </row>
    <row r="17" spans="1:11" x14ac:dyDescent="0.35">
      <c r="A17" t="s">
        <v>24</v>
      </c>
      <c r="B17" t="s">
        <v>25</v>
      </c>
      <c r="C17" t="s">
        <v>35</v>
      </c>
      <c r="D17" t="s">
        <v>21</v>
      </c>
      <c r="E17" t="s">
        <v>15</v>
      </c>
      <c r="F17" t="s">
        <v>16</v>
      </c>
      <c r="G17" t="s">
        <v>27</v>
      </c>
      <c r="H17">
        <v>155</v>
      </c>
      <c r="I17">
        <v>22</v>
      </c>
      <c r="J17">
        <v>7.0000000000000007E-2</v>
      </c>
      <c r="K17">
        <v>3171.3</v>
      </c>
    </row>
    <row r="18" spans="1:11" x14ac:dyDescent="0.35">
      <c r="A18" t="s">
        <v>11</v>
      </c>
      <c r="B18" t="s">
        <v>30</v>
      </c>
      <c r="C18" t="s">
        <v>13</v>
      </c>
      <c r="D18" t="s">
        <v>14</v>
      </c>
      <c r="E18" t="s">
        <v>15</v>
      </c>
      <c r="F18" t="s">
        <v>22</v>
      </c>
      <c r="G18" t="s">
        <v>32</v>
      </c>
      <c r="H18">
        <v>235</v>
      </c>
      <c r="I18">
        <v>13.5</v>
      </c>
      <c r="J18">
        <v>0.09</v>
      </c>
      <c r="K18">
        <v>2886.98</v>
      </c>
    </row>
    <row r="19" spans="1:11" x14ac:dyDescent="0.35">
      <c r="A19" t="s">
        <v>29</v>
      </c>
      <c r="B19" t="s">
        <v>12</v>
      </c>
      <c r="C19" t="s">
        <v>20</v>
      </c>
      <c r="D19" t="s">
        <v>21</v>
      </c>
      <c r="E19" t="s">
        <v>15</v>
      </c>
      <c r="F19" t="s">
        <v>16</v>
      </c>
      <c r="G19" t="s">
        <v>17</v>
      </c>
      <c r="H19">
        <v>180</v>
      </c>
      <c r="I19">
        <v>11.4</v>
      </c>
      <c r="J19">
        <v>0.08</v>
      </c>
      <c r="K19">
        <v>1887.84</v>
      </c>
    </row>
    <row r="20" spans="1:11" x14ac:dyDescent="0.35">
      <c r="A20" t="s">
        <v>18</v>
      </c>
      <c r="B20" t="s">
        <v>19</v>
      </c>
      <c r="C20" t="s">
        <v>26</v>
      </c>
      <c r="D20" t="s">
        <v>14</v>
      </c>
      <c r="E20" t="s">
        <v>15</v>
      </c>
      <c r="F20" t="s">
        <v>22</v>
      </c>
      <c r="G20" t="s">
        <v>23</v>
      </c>
      <c r="H20">
        <v>295</v>
      </c>
      <c r="I20">
        <v>6.2</v>
      </c>
      <c r="J20">
        <v>0.06</v>
      </c>
      <c r="K20">
        <v>1719.26</v>
      </c>
    </row>
    <row r="21" spans="1:11" x14ac:dyDescent="0.35">
      <c r="A21" t="s">
        <v>11</v>
      </c>
      <c r="B21" t="s">
        <v>25</v>
      </c>
      <c r="C21" t="s">
        <v>28</v>
      </c>
      <c r="D21" t="s">
        <v>21</v>
      </c>
      <c r="E21" t="s">
        <v>15</v>
      </c>
      <c r="F21" t="s">
        <v>22</v>
      </c>
      <c r="G21" t="s">
        <v>27</v>
      </c>
      <c r="H21">
        <v>220</v>
      </c>
      <c r="I21">
        <v>9.8000000000000007</v>
      </c>
      <c r="J21">
        <v>0.08</v>
      </c>
      <c r="K21">
        <v>1983.52</v>
      </c>
    </row>
    <row r="22" spans="1:11" x14ac:dyDescent="0.35">
      <c r="A22" t="s">
        <v>24</v>
      </c>
      <c r="B22" t="s">
        <v>30</v>
      </c>
      <c r="C22" t="s">
        <v>31</v>
      </c>
      <c r="D22" t="s">
        <v>14</v>
      </c>
      <c r="E22" t="s">
        <v>15</v>
      </c>
      <c r="F22" t="s">
        <v>22</v>
      </c>
      <c r="G22" t="s">
        <v>32</v>
      </c>
      <c r="H22">
        <v>275</v>
      </c>
      <c r="I22">
        <v>7.5</v>
      </c>
      <c r="J22">
        <v>0.1</v>
      </c>
      <c r="K22">
        <v>1856.25</v>
      </c>
    </row>
    <row r="23" spans="1:11" x14ac:dyDescent="0.35">
      <c r="A23" t="s">
        <v>29</v>
      </c>
      <c r="B23" t="s">
        <v>19</v>
      </c>
      <c r="C23" t="s">
        <v>33</v>
      </c>
      <c r="D23" t="s">
        <v>21</v>
      </c>
      <c r="E23" t="s">
        <v>15</v>
      </c>
      <c r="F23" t="s">
        <v>16</v>
      </c>
      <c r="G23" t="s">
        <v>23</v>
      </c>
      <c r="H23">
        <v>105</v>
      </c>
      <c r="I23">
        <v>42</v>
      </c>
      <c r="J23">
        <v>0.05</v>
      </c>
      <c r="K23">
        <v>4189.5</v>
      </c>
    </row>
    <row r="24" spans="1:11" x14ac:dyDescent="0.35">
      <c r="A24" t="s">
        <v>11</v>
      </c>
      <c r="B24" t="s">
        <v>12</v>
      </c>
      <c r="C24" t="s">
        <v>34</v>
      </c>
      <c r="D24" t="s">
        <v>14</v>
      </c>
      <c r="E24" t="s">
        <v>15</v>
      </c>
      <c r="F24" t="s">
        <v>16</v>
      </c>
      <c r="G24" t="s">
        <v>17</v>
      </c>
      <c r="H24">
        <v>250</v>
      </c>
      <c r="I24">
        <v>18.5</v>
      </c>
      <c r="J24">
        <v>0.09</v>
      </c>
      <c r="K24">
        <v>4208.75</v>
      </c>
    </row>
    <row r="25" spans="1:11" x14ac:dyDescent="0.35">
      <c r="A25" t="s">
        <v>18</v>
      </c>
      <c r="B25" t="s">
        <v>25</v>
      </c>
      <c r="C25" t="s">
        <v>35</v>
      </c>
      <c r="D25" t="s">
        <v>21</v>
      </c>
      <c r="E25" t="s">
        <v>15</v>
      </c>
      <c r="F25" t="s">
        <v>16</v>
      </c>
      <c r="G25" t="s">
        <v>27</v>
      </c>
      <c r="H25">
        <v>140</v>
      </c>
      <c r="I25">
        <v>22</v>
      </c>
      <c r="J25">
        <v>7.0000000000000007E-2</v>
      </c>
      <c r="K25">
        <v>2864.4</v>
      </c>
    </row>
    <row r="26" spans="1:11" x14ac:dyDescent="0.35">
      <c r="A26" t="s">
        <v>24</v>
      </c>
      <c r="B26" t="s">
        <v>12</v>
      </c>
      <c r="C26" t="s">
        <v>13</v>
      </c>
      <c r="D26" t="s">
        <v>14</v>
      </c>
      <c r="E26" t="s">
        <v>15</v>
      </c>
      <c r="F26" t="s">
        <v>22</v>
      </c>
      <c r="G26" t="s">
        <v>17</v>
      </c>
      <c r="H26">
        <v>170</v>
      </c>
      <c r="I26">
        <v>11.4</v>
      </c>
      <c r="J26">
        <v>0.08</v>
      </c>
      <c r="K26">
        <v>1782.96</v>
      </c>
    </row>
    <row r="27" spans="1:11" x14ac:dyDescent="0.35">
      <c r="A27" t="s">
        <v>11</v>
      </c>
      <c r="B27" t="s">
        <v>30</v>
      </c>
      <c r="C27" t="s">
        <v>20</v>
      </c>
      <c r="D27" t="s">
        <v>21</v>
      </c>
      <c r="E27" t="s">
        <v>15</v>
      </c>
      <c r="F27" t="s">
        <v>22</v>
      </c>
      <c r="G27" t="s">
        <v>32</v>
      </c>
      <c r="H27">
        <v>245</v>
      </c>
      <c r="I27">
        <v>13.5</v>
      </c>
      <c r="J27">
        <v>0.1</v>
      </c>
      <c r="K27">
        <v>2976.75</v>
      </c>
    </row>
    <row r="28" spans="1:11" x14ac:dyDescent="0.35">
      <c r="A28" t="s">
        <v>29</v>
      </c>
      <c r="B28" t="s">
        <v>19</v>
      </c>
      <c r="C28" t="s">
        <v>26</v>
      </c>
      <c r="D28" t="s">
        <v>14</v>
      </c>
      <c r="E28" t="s">
        <v>15</v>
      </c>
      <c r="F28" t="s">
        <v>22</v>
      </c>
      <c r="G28" t="s">
        <v>23</v>
      </c>
      <c r="H28">
        <v>320</v>
      </c>
      <c r="I28">
        <v>6.2</v>
      </c>
      <c r="J28">
        <v>0.06</v>
      </c>
      <c r="K28">
        <v>1864.96</v>
      </c>
    </row>
    <row r="29" spans="1:11" x14ac:dyDescent="0.35">
      <c r="A29" t="s">
        <v>18</v>
      </c>
      <c r="B29" t="s">
        <v>12</v>
      </c>
      <c r="C29" t="s">
        <v>28</v>
      </c>
      <c r="D29" t="s">
        <v>21</v>
      </c>
      <c r="E29" t="s">
        <v>15</v>
      </c>
      <c r="F29" t="s">
        <v>16</v>
      </c>
      <c r="G29" t="s">
        <v>17</v>
      </c>
      <c r="H29">
        <v>265</v>
      </c>
      <c r="I29">
        <v>18.5</v>
      </c>
      <c r="J29">
        <v>0.09</v>
      </c>
      <c r="K29">
        <v>4461.28</v>
      </c>
    </row>
    <row r="30" spans="1:11" x14ac:dyDescent="0.35">
      <c r="A30" t="s">
        <v>24</v>
      </c>
      <c r="B30" t="s">
        <v>25</v>
      </c>
      <c r="C30" t="s">
        <v>31</v>
      </c>
      <c r="D30" t="s">
        <v>14</v>
      </c>
      <c r="E30" t="s">
        <v>15</v>
      </c>
      <c r="F30" t="s">
        <v>22</v>
      </c>
      <c r="G30" t="s">
        <v>27</v>
      </c>
      <c r="H30">
        <v>230</v>
      </c>
      <c r="I30">
        <v>9.8000000000000007</v>
      </c>
      <c r="J30">
        <v>7.0000000000000007E-2</v>
      </c>
      <c r="K30">
        <v>2096.2199999999998</v>
      </c>
    </row>
    <row r="31" spans="1:11" x14ac:dyDescent="0.35">
      <c r="A31" t="s">
        <v>11</v>
      </c>
      <c r="B31" t="s">
        <v>19</v>
      </c>
      <c r="C31" t="s">
        <v>33</v>
      </c>
      <c r="D31" t="s">
        <v>21</v>
      </c>
      <c r="E31" t="s">
        <v>15</v>
      </c>
      <c r="F31" t="s">
        <v>16</v>
      </c>
      <c r="G31" t="s">
        <v>23</v>
      </c>
      <c r="H31">
        <v>125</v>
      </c>
      <c r="I31">
        <v>42</v>
      </c>
      <c r="J31">
        <v>0.05</v>
      </c>
      <c r="K31">
        <v>4987.5</v>
      </c>
    </row>
    <row r="32" spans="1:11" x14ac:dyDescent="0.35">
      <c r="A32" t="s">
        <v>29</v>
      </c>
      <c r="B32" t="s">
        <v>30</v>
      </c>
      <c r="C32" t="s">
        <v>34</v>
      </c>
      <c r="D32" t="s">
        <v>14</v>
      </c>
      <c r="E32" t="s">
        <v>15</v>
      </c>
      <c r="F32" t="s">
        <v>22</v>
      </c>
      <c r="G32" t="s">
        <v>32</v>
      </c>
      <c r="H32">
        <v>290</v>
      </c>
      <c r="I32">
        <v>7.5</v>
      </c>
      <c r="J32">
        <v>0.11</v>
      </c>
      <c r="K32">
        <v>1935.75</v>
      </c>
    </row>
    <row r="33" spans="1:11" x14ac:dyDescent="0.35">
      <c r="A33" t="s">
        <v>18</v>
      </c>
      <c r="B33" t="s">
        <v>25</v>
      </c>
      <c r="C33" t="s">
        <v>35</v>
      </c>
      <c r="D33" t="s">
        <v>21</v>
      </c>
      <c r="E33" t="s">
        <v>15</v>
      </c>
      <c r="F33" t="s">
        <v>16</v>
      </c>
      <c r="G33" t="s">
        <v>27</v>
      </c>
      <c r="H33">
        <v>150</v>
      </c>
      <c r="I33">
        <v>22</v>
      </c>
      <c r="J33">
        <v>0.06</v>
      </c>
      <c r="K33">
        <v>3102</v>
      </c>
    </row>
    <row r="34" spans="1:11" x14ac:dyDescent="0.3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>
        <v>195</v>
      </c>
      <c r="I34">
        <v>11.4</v>
      </c>
      <c r="J34">
        <v>0.08</v>
      </c>
      <c r="K34">
        <v>2045.16</v>
      </c>
    </row>
    <row r="35" spans="1:11" x14ac:dyDescent="0.35">
      <c r="A35" t="s">
        <v>24</v>
      </c>
      <c r="B35" t="s">
        <v>30</v>
      </c>
      <c r="C35" t="s">
        <v>20</v>
      </c>
      <c r="D35" t="s">
        <v>21</v>
      </c>
      <c r="E35" t="s">
        <v>15</v>
      </c>
      <c r="F35" t="s">
        <v>22</v>
      </c>
      <c r="G35" t="s">
        <v>32</v>
      </c>
      <c r="H35">
        <v>215</v>
      </c>
      <c r="I35">
        <v>13.5</v>
      </c>
      <c r="J35">
        <v>0.09</v>
      </c>
      <c r="K35">
        <v>2641.28</v>
      </c>
    </row>
    <row r="36" spans="1:11" x14ac:dyDescent="0.35">
      <c r="A36" t="s">
        <v>29</v>
      </c>
      <c r="B36" t="s">
        <v>19</v>
      </c>
      <c r="C36" t="s">
        <v>26</v>
      </c>
      <c r="D36" t="s">
        <v>14</v>
      </c>
      <c r="E36" t="s">
        <v>15</v>
      </c>
      <c r="F36" t="s">
        <v>22</v>
      </c>
      <c r="G36" t="s">
        <v>23</v>
      </c>
      <c r="H36">
        <v>305</v>
      </c>
      <c r="I36">
        <v>6.2</v>
      </c>
      <c r="J36">
        <v>7.0000000000000007E-2</v>
      </c>
      <c r="K36">
        <v>1758.63</v>
      </c>
    </row>
    <row r="37" spans="1:11" x14ac:dyDescent="0.35">
      <c r="A37" t="s">
        <v>11</v>
      </c>
      <c r="B37" t="s">
        <v>12</v>
      </c>
      <c r="C37" t="s">
        <v>28</v>
      </c>
      <c r="D37" t="s">
        <v>21</v>
      </c>
      <c r="E37" t="s">
        <v>15</v>
      </c>
      <c r="F37" t="s">
        <v>16</v>
      </c>
      <c r="G37" t="s">
        <v>17</v>
      </c>
      <c r="H37">
        <v>275</v>
      </c>
      <c r="I37">
        <v>18.5</v>
      </c>
      <c r="J37">
        <v>0.1</v>
      </c>
      <c r="K37">
        <v>4578.75</v>
      </c>
    </row>
  </sheetData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5317-5003-4DE4-AC11-BA32420285FE}">
  <dimension ref="A1:AD37"/>
  <sheetViews>
    <sheetView tabSelected="1" topLeftCell="A22" workbookViewId="0">
      <selection activeCell="AC34" sqref="AC34"/>
    </sheetView>
  </sheetViews>
  <sheetFormatPr defaultRowHeight="14.5" x14ac:dyDescent="0.35"/>
  <cols>
    <col min="1" max="1" width="10.6328125" customWidth="1"/>
    <col min="2" max="2" width="16.36328125" customWidth="1"/>
    <col min="3" max="3" width="20.81640625" customWidth="1"/>
    <col min="4" max="4" width="9.08984375" customWidth="1"/>
    <col min="5" max="5" width="16.54296875" customWidth="1"/>
    <col min="6" max="6" width="14.08984375" customWidth="1"/>
    <col min="7" max="7" width="13.26953125" customWidth="1"/>
    <col min="8" max="8" width="9.90625" customWidth="1"/>
    <col min="9" max="9" width="15" customWidth="1"/>
    <col min="10" max="10" width="13.26953125" customWidth="1"/>
    <col min="11" max="11" width="12.453125" customWidth="1"/>
    <col min="22" max="22" width="10.9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4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120</v>
      </c>
      <c r="I2">
        <v>18.5</v>
      </c>
      <c r="J2">
        <v>0.08</v>
      </c>
      <c r="K2">
        <v>2042.4</v>
      </c>
      <c r="X2" s="16"/>
    </row>
    <row r="3" spans="1:24" x14ac:dyDescent="0.3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>
        <v>210</v>
      </c>
      <c r="I3">
        <v>6.2</v>
      </c>
      <c r="J3">
        <v>0.05</v>
      </c>
      <c r="K3">
        <v>1236.9000000000001</v>
      </c>
      <c r="P3" s="16"/>
      <c r="V3" s="17"/>
      <c r="W3" s="17"/>
    </row>
    <row r="4" spans="1:24" x14ac:dyDescent="0.35">
      <c r="A4" t="s">
        <v>24</v>
      </c>
      <c r="B4" t="s">
        <v>25</v>
      </c>
      <c r="C4" t="s">
        <v>26</v>
      </c>
      <c r="D4" t="s">
        <v>14</v>
      </c>
      <c r="E4" t="s">
        <v>15</v>
      </c>
      <c r="F4" t="s">
        <v>22</v>
      </c>
      <c r="G4" t="s">
        <v>27</v>
      </c>
      <c r="H4">
        <v>175</v>
      </c>
      <c r="I4">
        <v>9.8000000000000007</v>
      </c>
      <c r="J4">
        <v>7.0000000000000007E-2</v>
      </c>
      <c r="K4">
        <v>1594.95</v>
      </c>
      <c r="Q4" s="15"/>
      <c r="V4" s="7"/>
      <c r="W4" s="7"/>
    </row>
    <row r="5" spans="1:24" x14ac:dyDescent="0.35">
      <c r="A5" t="s">
        <v>11</v>
      </c>
      <c r="B5" t="s">
        <v>12</v>
      </c>
      <c r="C5" t="s">
        <v>28</v>
      </c>
      <c r="D5" t="s">
        <v>21</v>
      </c>
      <c r="E5" t="s">
        <v>15</v>
      </c>
      <c r="F5" t="s">
        <v>16</v>
      </c>
      <c r="G5" t="s">
        <v>17</v>
      </c>
      <c r="H5">
        <v>145</v>
      </c>
      <c r="I5">
        <v>11.4</v>
      </c>
      <c r="J5">
        <v>0.06</v>
      </c>
      <c r="K5">
        <v>1553.82</v>
      </c>
      <c r="Q5" s="15"/>
      <c r="V5" s="7"/>
      <c r="W5" s="7"/>
    </row>
    <row r="6" spans="1:24" x14ac:dyDescent="0.3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22</v>
      </c>
      <c r="G6" t="s">
        <v>32</v>
      </c>
      <c r="H6">
        <v>260</v>
      </c>
      <c r="I6">
        <v>7.5</v>
      </c>
      <c r="J6">
        <v>0.1</v>
      </c>
      <c r="K6">
        <v>1755</v>
      </c>
      <c r="V6" s="7"/>
      <c r="W6" s="7"/>
    </row>
    <row r="7" spans="1:24" x14ac:dyDescent="0.35">
      <c r="A7" t="s">
        <v>18</v>
      </c>
      <c r="B7" t="s">
        <v>19</v>
      </c>
      <c r="C7" t="s">
        <v>33</v>
      </c>
      <c r="D7" t="s">
        <v>21</v>
      </c>
      <c r="E7" t="s">
        <v>15</v>
      </c>
      <c r="F7" t="s">
        <v>16</v>
      </c>
      <c r="G7" t="s">
        <v>23</v>
      </c>
      <c r="H7">
        <v>95</v>
      </c>
      <c r="I7">
        <v>42</v>
      </c>
      <c r="J7">
        <v>0.05</v>
      </c>
      <c r="K7">
        <v>3790.5</v>
      </c>
    </row>
    <row r="8" spans="1:24" x14ac:dyDescent="0.35">
      <c r="A8" t="s">
        <v>11</v>
      </c>
      <c r="B8" t="s">
        <v>25</v>
      </c>
      <c r="C8" t="s">
        <v>34</v>
      </c>
      <c r="D8" t="s">
        <v>14</v>
      </c>
      <c r="E8" t="s">
        <v>15</v>
      </c>
      <c r="F8" t="s">
        <v>16</v>
      </c>
      <c r="G8" t="s">
        <v>27</v>
      </c>
      <c r="H8">
        <v>130</v>
      </c>
      <c r="I8">
        <v>22</v>
      </c>
      <c r="J8">
        <v>0.08</v>
      </c>
      <c r="K8">
        <v>2631.2</v>
      </c>
    </row>
    <row r="9" spans="1:24" x14ac:dyDescent="0.35">
      <c r="A9" t="s">
        <v>24</v>
      </c>
      <c r="B9" t="s">
        <v>30</v>
      </c>
      <c r="C9" t="s">
        <v>35</v>
      </c>
      <c r="D9" t="s">
        <v>21</v>
      </c>
      <c r="E9" t="s">
        <v>15</v>
      </c>
      <c r="F9" t="s">
        <v>22</v>
      </c>
      <c r="G9" t="s">
        <v>32</v>
      </c>
      <c r="H9">
        <v>190</v>
      </c>
      <c r="I9">
        <v>13.5</v>
      </c>
      <c r="J9">
        <v>7.0000000000000007E-2</v>
      </c>
      <c r="K9">
        <v>2385.4499999999998</v>
      </c>
    </row>
    <row r="10" spans="1:24" x14ac:dyDescent="0.35">
      <c r="A10" t="s">
        <v>29</v>
      </c>
      <c r="B10" t="s">
        <v>12</v>
      </c>
      <c r="C10" t="s">
        <v>13</v>
      </c>
      <c r="D10" t="s">
        <v>14</v>
      </c>
      <c r="E10" t="s">
        <v>15</v>
      </c>
      <c r="F10" t="s">
        <v>22</v>
      </c>
      <c r="G10" t="s">
        <v>17</v>
      </c>
      <c r="H10">
        <v>225</v>
      </c>
      <c r="I10">
        <v>18.5</v>
      </c>
      <c r="J10">
        <v>0.09</v>
      </c>
      <c r="K10">
        <v>3787.88</v>
      </c>
    </row>
    <row r="11" spans="1:24" x14ac:dyDescent="0.35">
      <c r="A11" t="s">
        <v>11</v>
      </c>
      <c r="B11" t="s">
        <v>19</v>
      </c>
      <c r="C11" t="s">
        <v>20</v>
      </c>
      <c r="D11" t="s">
        <v>21</v>
      </c>
      <c r="E11" t="s">
        <v>15</v>
      </c>
      <c r="F11" t="s">
        <v>16</v>
      </c>
      <c r="G11" t="s">
        <v>23</v>
      </c>
      <c r="H11">
        <v>280</v>
      </c>
      <c r="I11">
        <v>6.2</v>
      </c>
      <c r="J11">
        <v>0.06</v>
      </c>
      <c r="K11">
        <v>1631.84</v>
      </c>
    </row>
    <row r="12" spans="1:24" x14ac:dyDescent="0.35">
      <c r="A12" t="s">
        <v>18</v>
      </c>
      <c r="B12" t="s">
        <v>25</v>
      </c>
      <c r="C12" t="s">
        <v>26</v>
      </c>
      <c r="D12" t="s">
        <v>14</v>
      </c>
      <c r="E12" t="s">
        <v>15</v>
      </c>
      <c r="F12" t="s">
        <v>22</v>
      </c>
      <c r="G12" t="s">
        <v>27</v>
      </c>
      <c r="H12">
        <v>205</v>
      </c>
      <c r="I12">
        <v>9.8000000000000007</v>
      </c>
      <c r="J12">
        <v>0.05</v>
      </c>
      <c r="K12">
        <v>1908.55</v>
      </c>
    </row>
    <row r="13" spans="1:24" x14ac:dyDescent="0.35">
      <c r="A13" t="s">
        <v>24</v>
      </c>
      <c r="B13" t="s">
        <v>12</v>
      </c>
      <c r="C13" t="s">
        <v>28</v>
      </c>
      <c r="D13" t="s">
        <v>21</v>
      </c>
      <c r="E13" t="s">
        <v>15</v>
      </c>
      <c r="F13" t="s">
        <v>16</v>
      </c>
      <c r="G13" t="s">
        <v>17</v>
      </c>
      <c r="H13">
        <v>160</v>
      </c>
      <c r="I13">
        <v>11.4</v>
      </c>
      <c r="J13">
        <v>0.08</v>
      </c>
      <c r="K13">
        <v>1678.08</v>
      </c>
    </row>
    <row r="14" spans="1:24" x14ac:dyDescent="0.35">
      <c r="A14" t="s">
        <v>29</v>
      </c>
      <c r="B14" t="s">
        <v>30</v>
      </c>
      <c r="C14" t="s">
        <v>31</v>
      </c>
      <c r="D14" t="s">
        <v>14</v>
      </c>
      <c r="E14" t="s">
        <v>15</v>
      </c>
      <c r="F14" t="s">
        <v>22</v>
      </c>
      <c r="G14" t="s">
        <v>32</v>
      </c>
      <c r="H14">
        <v>310</v>
      </c>
      <c r="I14">
        <v>7.5</v>
      </c>
      <c r="J14">
        <v>0.12</v>
      </c>
      <c r="K14">
        <v>2046</v>
      </c>
    </row>
    <row r="15" spans="1:24" x14ac:dyDescent="0.35">
      <c r="A15" t="s">
        <v>11</v>
      </c>
      <c r="B15" t="s">
        <v>19</v>
      </c>
      <c r="C15" t="s">
        <v>33</v>
      </c>
      <c r="D15" t="s">
        <v>21</v>
      </c>
      <c r="E15" t="s">
        <v>15</v>
      </c>
      <c r="F15" t="s">
        <v>16</v>
      </c>
      <c r="G15" t="s">
        <v>23</v>
      </c>
      <c r="H15">
        <v>110</v>
      </c>
      <c r="I15">
        <v>42</v>
      </c>
      <c r="J15">
        <v>0.06</v>
      </c>
      <c r="K15">
        <v>4342.8</v>
      </c>
    </row>
    <row r="16" spans="1:24" x14ac:dyDescent="0.35">
      <c r="A16" t="s">
        <v>18</v>
      </c>
      <c r="B16" t="s">
        <v>12</v>
      </c>
      <c r="C16" t="s">
        <v>34</v>
      </c>
      <c r="D16" t="s">
        <v>14</v>
      </c>
      <c r="E16" t="s">
        <v>15</v>
      </c>
      <c r="F16" t="s">
        <v>22</v>
      </c>
      <c r="G16" t="s">
        <v>17</v>
      </c>
      <c r="H16">
        <v>240</v>
      </c>
      <c r="I16">
        <v>18.5</v>
      </c>
      <c r="J16">
        <v>0.1</v>
      </c>
      <c r="K16">
        <v>3996</v>
      </c>
    </row>
    <row r="17" spans="1:30" x14ac:dyDescent="0.35">
      <c r="A17" t="s">
        <v>24</v>
      </c>
      <c r="B17" t="s">
        <v>25</v>
      </c>
      <c r="C17" t="s">
        <v>35</v>
      </c>
      <c r="D17" t="s">
        <v>21</v>
      </c>
      <c r="E17" t="s">
        <v>15</v>
      </c>
      <c r="F17" t="s">
        <v>16</v>
      </c>
      <c r="G17" t="s">
        <v>27</v>
      </c>
      <c r="H17">
        <v>155</v>
      </c>
      <c r="I17">
        <v>22</v>
      </c>
      <c r="J17">
        <v>7.0000000000000007E-2</v>
      </c>
      <c r="K17">
        <v>3171.3</v>
      </c>
    </row>
    <row r="18" spans="1:30" x14ac:dyDescent="0.35">
      <c r="A18" t="s">
        <v>11</v>
      </c>
      <c r="B18" t="s">
        <v>30</v>
      </c>
      <c r="C18" t="s">
        <v>13</v>
      </c>
      <c r="D18" t="s">
        <v>14</v>
      </c>
      <c r="E18" t="s">
        <v>15</v>
      </c>
      <c r="F18" t="s">
        <v>22</v>
      </c>
      <c r="G18" t="s">
        <v>32</v>
      </c>
      <c r="H18">
        <v>235</v>
      </c>
      <c r="I18">
        <v>13.5</v>
      </c>
      <c r="J18">
        <v>0.09</v>
      </c>
      <c r="K18">
        <v>2886.98</v>
      </c>
    </row>
    <row r="19" spans="1:30" x14ac:dyDescent="0.35">
      <c r="A19" t="s">
        <v>29</v>
      </c>
      <c r="B19" t="s">
        <v>12</v>
      </c>
      <c r="C19" t="s">
        <v>20</v>
      </c>
      <c r="D19" t="s">
        <v>21</v>
      </c>
      <c r="E19" t="s">
        <v>15</v>
      </c>
      <c r="F19" t="s">
        <v>16</v>
      </c>
      <c r="G19" t="s">
        <v>17</v>
      </c>
      <c r="H19">
        <v>180</v>
      </c>
      <c r="I19">
        <v>11.4</v>
      </c>
      <c r="J19">
        <v>0.08</v>
      </c>
      <c r="K19">
        <v>1887.84</v>
      </c>
    </row>
    <row r="20" spans="1:30" x14ac:dyDescent="0.35">
      <c r="A20" t="s">
        <v>18</v>
      </c>
      <c r="B20" t="s">
        <v>19</v>
      </c>
      <c r="C20" t="s">
        <v>26</v>
      </c>
      <c r="D20" t="s">
        <v>14</v>
      </c>
      <c r="E20" t="s">
        <v>15</v>
      </c>
      <c r="F20" t="s">
        <v>22</v>
      </c>
      <c r="G20" t="s">
        <v>23</v>
      </c>
      <c r="H20">
        <v>295</v>
      </c>
      <c r="I20">
        <v>6.2</v>
      </c>
      <c r="J20">
        <v>0.06</v>
      </c>
      <c r="K20">
        <v>1719.26</v>
      </c>
    </row>
    <row r="21" spans="1:30" x14ac:dyDescent="0.35">
      <c r="A21" t="s">
        <v>11</v>
      </c>
      <c r="B21" t="s">
        <v>25</v>
      </c>
      <c r="C21" t="s">
        <v>28</v>
      </c>
      <c r="D21" t="s">
        <v>21</v>
      </c>
      <c r="E21" t="s">
        <v>15</v>
      </c>
      <c r="F21" t="s">
        <v>22</v>
      </c>
      <c r="G21" t="s">
        <v>27</v>
      </c>
      <c r="H21">
        <v>220</v>
      </c>
      <c r="I21">
        <v>9.8000000000000007</v>
      </c>
      <c r="J21">
        <v>0.08</v>
      </c>
      <c r="K21">
        <v>1983.52</v>
      </c>
    </row>
    <row r="22" spans="1:30" x14ac:dyDescent="0.35">
      <c r="A22" t="s">
        <v>24</v>
      </c>
      <c r="B22" t="s">
        <v>30</v>
      </c>
      <c r="C22" t="s">
        <v>31</v>
      </c>
      <c r="D22" t="s">
        <v>14</v>
      </c>
      <c r="E22" t="s">
        <v>15</v>
      </c>
      <c r="F22" t="s">
        <v>22</v>
      </c>
      <c r="G22" t="s">
        <v>32</v>
      </c>
      <c r="H22">
        <v>275</v>
      </c>
      <c r="I22">
        <v>7.5</v>
      </c>
      <c r="J22">
        <v>0.1</v>
      </c>
      <c r="K22">
        <v>1856.25</v>
      </c>
    </row>
    <row r="23" spans="1:30" x14ac:dyDescent="0.35">
      <c r="A23" t="s">
        <v>29</v>
      </c>
      <c r="B23" t="s">
        <v>19</v>
      </c>
      <c r="C23" t="s">
        <v>33</v>
      </c>
      <c r="D23" t="s">
        <v>21</v>
      </c>
      <c r="E23" t="s">
        <v>15</v>
      </c>
      <c r="F23" t="s">
        <v>16</v>
      </c>
      <c r="G23" t="s">
        <v>23</v>
      </c>
      <c r="H23">
        <v>105</v>
      </c>
      <c r="I23">
        <v>42</v>
      </c>
      <c r="J23">
        <v>0.05</v>
      </c>
      <c r="K23">
        <v>4189.5</v>
      </c>
      <c r="Y23" t="s">
        <v>95</v>
      </c>
      <c r="AB23" t="s">
        <v>96</v>
      </c>
      <c r="AC23" t="s">
        <v>16</v>
      </c>
      <c r="AD23" s="16">
        <f>COUNTIFS(F2:F37,"Hospital",D2:D37,"Male")/COUNTIF(F2:F37,"Hospital")</f>
        <v>0.23529411764705882</v>
      </c>
    </row>
    <row r="24" spans="1:30" x14ac:dyDescent="0.35">
      <c r="A24" t="s">
        <v>11</v>
      </c>
      <c r="B24" t="s">
        <v>12</v>
      </c>
      <c r="C24" t="s">
        <v>34</v>
      </c>
      <c r="D24" t="s">
        <v>14</v>
      </c>
      <c r="E24" t="s">
        <v>15</v>
      </c>
      <c r="F24" t="s">
        <v>16</v>
      </c>
      <c r="G24" t="s">
        <v>17</v>
      </c>
      <c r="H24">
        <v>250</v>
      </c>
      <c r="I24">
        <v>18.5</v>
      </c>
      <c r="J24">
        <v>0.09</v>
      </c>
      <c r="K24">
        <v>4208.75</v>
      </c>
      <c r="AB24" t="s">
        <v>97</v>
      </c>
      <c r="AC24" t="s">
        <v>14</v>
      </c>
    </row>
    <row r="25" spans="1:30" x14ac:dyDescent="0.35">
      <c r="A25" t="s">
        <v>18</v>
      </c>
      <c r="B25" t="s">
        <v>25</v>
      </c>
      <c r="C25" t="s">
        <v>35</v>
      </c>
      <c r="D25" t="s">
        <v>21</v>
      </c>
      <c r="E25" t="s">
        <v>15</v>
      </c>
      <c r="F25" t="s">
        <v>16</v>
      </c>
      <c r="G25" t="s">
        <v>27</v>
      </c>
      <c r="H25">
        <v>140</v>
      </c>
      <c r="I25">
        <v>22</v>
      </c>
      <c r="J25">
        <v>7.0000000000000007E-2</v>
      </c>
      <c r="K25">
        <v>2864.4</v>
      </c>
      <c r="M25" t="s">
        <v>81</v>
      </c>
      <c r="O25">
        <f>COUNTIF(F2:F37,"Hospital")/COUNTA(F2:F37)</f>
        <v>0.47222222222222221</v>
      </c>
      <c r="P25">
        <f>COUNTIF(F2:F37,"Pharmacy")/COUNTA(F2:F37)</f>
        <v>0.52777777777777779</v>
      </c>
      <c r="T25" t="s">
        <v>88</v>
      </c>
      <c r="W25" s="16">
        <f>COUNTIF($K$2:$K$37,"&lt;=2000")/COUNT($K$2:$K$37)</f>
        <v>0.41666666666666669</v>
      </c>
      <c r="AB25" t="s">
        <v>98</v>
      </c>
      <c r="AC25" t="s">
        <v>99</v>
      </c>
    </row>
    <row r="26" spans="1:30" x14ac:dyDescent="0.35">
      <c r="A26" t="s">
        <v>24</v>
      </c>
      <c r="B26" t="s">
        <v>12</v>
      </c>
      <c r="C26" t="s">
        <v>13</v>
      </c>
      <c r="D26" t="s">
        <v>14</v>
      </c>
      <c r="E26" t="s">
        <v>15</v>
      </c>
      <c r="F26" t="s">
        <v>22</v>
      </c>
      <c r="G26" t="s">
        <v>17</v>
      </c>
      <c r="H26">
        <v>170</v>
      </c>
      <c r="I26">
        <v>11.4</v>
      </c>
      <c r="J26">
        <v>0.08</v>
      </c>
      <c r="K26">
        <v>1782.96</v>
      </c>
      <c r="M26" t="s">
        <v>82</v>
      </c>
      <c r="O26" s="16">
        <f>COUNTIF(F2:F37,"Hospital")/COUNTA(F2:F37)+COUNTIF(F2:F37,"Pharmacy")/COUNTA(F2:F37)</f>
        <v>1</v>
      </c>
      <c r="U26" s="17" t="s">
        <v>89</v>
      </c>
      <c r="V26" s="17" t="s">
        <v>90</v>
      </c>
    </row>
    <row r="27" spans="1:30" x14ac:dyDescent="0.35">
      <c r="A27" t="s">
        <v>11</v>
      </c>
      <c r="B27" t="s">
        <v>30</v>
      </c>
      <c r="C27" t="s">
        <v>20</v>
      </c>
      <c r="D27" t="s">
        <v>21</v>
      </c>
      <c r="E27" t="s">
        <v>15</v>
      </c>
      <c r="F27" t="s">
        <v>22</v>
      </c>
      <c r="G27" t="s">
        <v>32</v>
      </c>
      <c r="H27">
        <v>245</v>
      </c>
      <c r="I27">
        <v>13.5</v>
      </c>
      <c r="J27">
        <v>0.1</v>
      </c>
      <c r="K27">
        <v>2976.75</v>
      </c>
      <c r="M27" t="s">
        <v>83</v>
      </c>
      <c r="O27">
        <f>COUNTIFS(F2:F37,"Hospital",D2:D37,"Male")/COUNTA(F2:F37)</f>
        <v>0.1111111111111111</v>
      </c>
      <c r="P27" s="15" t="s">
        <v>84</v>
      </c>
      <c r="U27" s="7" t="s">
        <v>91</v>
      </c>
      <c r="V27" s="7" t="s">
        <v>92</v>
      </c>
      <c r="Y27" t="s">
        <v>100</v>
      </c>
      <c r="AA27" s="16">
        <f>COUNTIFS(D2:D37,"Male",F2:F37,"Hospital")/COUNTIF(D2:D37,"Male")</f>
        <v>0.22222222222222221</v>
      </c>
    </row>
    <row r="28" spans="1:30" ht="29" x14ac:dyDescent="0.35">
      <c r="A28" t="s">
        <v>29</v>
      </c>
      <c r="B28" t="s">
        <v>19</v>
      </c>
      <c r="C28" t="s">
        <v>26</v>
      </c>
      <c r="D28" t="s">
        <v>14</v>
      </c>
      <c r="E28" t="s">
        <v>15</v>
      </c>
      <c r="F28" t="s">
        <v>22</v>
      </c>
      <c r="G28" t="s">
        <v>23</v>
      </c>
      <c r="H28">
        <v>320</v>
      </c>
      <c r="I28">
        <v>6.2</v>
      </c>
      <c r="J28">
        <v>0.06</v>
      </c>
      <c r="K28">
        <v>1864.96</v>
      </c>
      <c r="P28" s="15" t="s">
        <v>85</v>
      </c>
      <c r="U28" s="7" t="s">
        <v>93</v>
      </c>
      <c r="V28" s="7" t="s">
        <v>88</v>
      </c>
      <c r="Z28" s="15" t="s">
        <v>101</v>
      </c>
    </row>
    <row r="29" spans="1:30" x14ac:dyDescent="0.35">
      <c r="A29" t="s">
        <v>18</v>
      </c>
      <c r="B29" t="s">
        <v>12</v>
      </c>
      <c r="C29" t="s">
        <v>28</v>
      </c>
      <c r="D29" t="s">
        <v>21</v>
      </c>
      <c r="E29" t="s">
        <v>15</v>
      </c>
      <c r="F29" t="s">
        <v>16</v>
      </c>
      <c r="G29" t="s">
        <v>17</v>
      </c>
      <c r="H29">
        <v>265</v>
      </c>
      <c r="I29">
        <v>18.5</v>
      </c>
      <c r="J29">
        <v>0.09</v>
      </c>
      <c r="K29">
        <v>4461.28</v>
      </c>
      <c r="M29" t="s">
        <v>83</v>
      </c>
      <c r="O29">
        <f>COUNTIF(F2:F37,"Hospital")/COUNTA(F2:F37)</f>
        <v>0.47222222222222221</v>
      </c>
      <c r="P29">
        <f>COUNTIF(D2:D37,"Male")/COUNTA(D2:D37)</f>
        <v>0.5</v>
      </c>
      <c r="Q29">
        <f>(COUNTIF(F2:F37,"Hospital")/COUNTA(F2:F37))*(COUNTIF(D2:D37,"Male")/COUNTA(D2:D37))</f>
        <v>0.2361111111111111</v>
      </c>
      <c r="U29" s="7" t="s">
        <v>94</v>
      </c>
      <c r="V29" s="7">
        <v>2000</v>
      </c>
      <c r="Z29" s="15" t="s">
        <v>102</v>
      </c>
    </row>
    <row r="30" spans="1:30" x14ac:dyDescent="0.35">
      <c r="A30" t="s">
        <v>24</v>
      </c>
      <c r="B30" t="s">
        <v>25</v>
      </c>
      <c r="C30" t="s">
        <v>31</v>
      </c>
      <c r="D30" t="s">
        <v>14</v>
      </c>
      <c r="E30" t="s">
        <v>15</v>
      </c>
      <c r="F30" t="s">
        <v>22</v>
      </c>
      <c r="G30" t="s">
        <v>27</v>
      </c>
      <c r="H30">
        <v>230</v>
      </c>
      <c r="I30">
        <v>9.8000000000000007</v>
      </c>
      <c r="J30">
        <v>7.0000000000000007E-2</v>
      </c>
      <c r="K30">
        <v>2096.2199999999998</v>
      </c>
      <c r="O30" t="s">
        <v>86</v>
      </c>
      <c r="P30" t="s">
        <v>87</v>
      </c>
      <c r="Z30" s="15" t="s">
        <v>103</v>
      </c>
    </row>
    <row r="31" spans="1:30" x14ac:dyDescent="0.35">
      <c r="A31" t="s">
        <v>11</v>
      </c>
      <c r="B31" t="s">
        <v>19</v>
      </c>
      <c r="C31" t="s">
        <v>33</v>
      </c>
      <c r="D31" t="s">
        <v>21</v>
      </c>
      <c r="E31" t="s">
        <v>15</v>
      </c>
      <c r="F31" t="s">
        <v>16</v>
      </c>
      <c r="G31" t="s">
        <v>23</v>
      </c>
      <c r="H31">
        <v>125</v>
      </c>
      <c r="I31">
        <v>42</v>
      </c>
      <c r="J31">
        <v>0.05</v>
      </c>
      <c r="K31">
        <v>4987.5</v>
      </c>
    </row>
    <row r="32" spans="1:30" x14ac:dyDescent="0.35">
      <c r="A32" t="s">
        <v>29</v>
      </c>
      <c r="B32" t="s">
        <v>30</v>
      </c>
      <c r="C32" t="s">
        <v>34</v>
      </c>
      <c r="D32" t="s">
        <v>14</v>
      </c>
      <c r="E32" t="s">
        <v>15</v>
      </c>
      <c r="F32" t="s">
        <v>22</v>
      </c>
      <c r="G32" t="s">
        <v>32</v>
      </c>
      <c r="H32">
        <v>290</v>
      </c>
      <c r="I32">
        <v>7.5</v>
      </c>
      <c r="J32">
        <v>0.11</v>
      </c>
      <c r="K32">
        <v>1935.75</v>
      </c>
    </row>
    <row r="33" spans="1:11" x14ac:dyDescent="0.35">
      <c r="A33" t="s">
        <v>18</v>
      </c>
      <c r="B33" t="s">
        <v>25</v>
      </c>
      <c r="C33" t="s">
        <v>35</v>
      </c>
      <c r="D33" t="s">
        <v>21</v>
      </c>
      <c r="E33" t="s">
        <v>15</v>
      </c>
      <c r="F33" t="s">
        <v>16</v>
      </c>
      <c r="G33" t="s">
        <v>27</v>
      </c>
      <c r="H33">
        <v>150</v>
      </c>
      <c r="I33">
        <v>22</v>
      </c>
      <c r="J33">
        <v>0.06</v>
      </c>
      <c r="K33">
        <v>3102</v>
      </c>
    </row>
    <row r="34" spans="1:11" x14ac:dyDescent="0.3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>
        <v>195</v>
      </c>
      <c r="I34">
        <v>11.4</v>
      </c>
      <c r="J34">
        <v>0.08</v>
      </c>
      <c r="K34">
        <v>2045.16</v>
      </c>
    </row>
    <row r="35" spans="1:11" x14ac:dyDescent="0.35">
      <c r="A35" t="s">
        <v>24</v>
      </c>
      <c r="B35" t="s">
        <v>30</v>
      </c>
      <c r="C35" t="s">
        <v>20</v>
      </c>
      <c r="D35" t="s">
        <v>21</v>
      </c>
      <c r="E35" t="s">
        <v>15</v>
      </c>
      <c r="F35" t="s">
        <v>22</v>
      </c>
      <c r="G35" t="s">
        <v>32</v>
      </c>
      <c r="H35">
        <v>215</v>
      </c>
      <c r="I35">
        <v>13.5</v>
      </c>
      <c r="J35">
        <v>0.09</v>
      </c>
      <c r="K35">
        <v>2641.28</v>
      </c>
    </row>
    <row r="36" spans="1:11" x14ac:dyDescent="0.35">
      <c r="A36" t="s">
        <v>29</v>
      </c>
      <c r="B36" t="s">
        <v>19</v>
      </c>
      <c r="C36" t="s">
        <v>26</v>
      </c>
      <c r="D36" t="s">
        <v>14</v>
      </c>
      <c r="E36" t="s">
        <v>15</v>
      </c>
      <c r="F36" t="s">
        <v>22</v>
      </c>
      <c r="G36" t="s">
        <v>23</v>
      </c>
      <c r="H36">
        <v>305</v>
      </c>
      <c r="I36">
        <v>6.2</v>
      </c>
      <c r="J36">
        <v>7.0000000000000007E-2</v>
      </c>
      <c r="K36">
        <v>1758.63</v>
      </c>
    </row>
    <row r="37" spans="1:11" x14ac:dyDescent="0.35">
      <c r="A37" t="s">
        <v>11</v>
      </c>
      <c r="B37" t="s">
        <v>12</v>
      </c>
      <c r="C37" t="s">
        <v>28</v>
      </c>
      <c r="D37" t="s">
        <v>21</v>
      </c>
      <c r="E37" t="s">
        <v>15</v>
      </c>
      <c r="F37" t="s">
        <v>16</v>
      </c>
      <c r="G37" t="s">
        <v>17</v>
      </c>
      <c r="H37">
        <v>275</v>
      </c>
      <c r="I37">
        <v>18.5</v>
      </c>
      <c r="J37">
        <v>0.1</v>
      </c>
      <c r="K37">
        <v>4578.75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F76C-7D64-4C0C-AD5A-A6E035D99905}">
  <dimension ref="A1:AB37"/>
  <sheetViews>
    <sheetView topLeftCell="T1" workbookViewId="0">
      <selection activeCell="X9" sqref="X9"/>
    </sheetView>
  </sheetViews>
  <sheetFormatPr defaultRowHeight="14.5" x14ac:dyDescent="0.35"/>
  <cols>
    <col min="2" max="2" width="15.36328125" customWidth="1"/>
    <col min="3" max="3" width="20.7265625" customWidth="1"/>
    <col min="4" max="4" width="9.26953125" customWidth="1"/>
    <col min="5" max="5" width="17.1796875" customWidth="1"/>
    <col min="6" max="6" width="14.54296875" customWidth="1"/>
    <col min="7" max="7" width="13.54296875" customWidth="1"/>
    <col min="9" max="9" width="14.36328125" customWidth="1"/>
    <col min="10" max="10" width="13.36328125" customWidth="1"/>
    <col min="11" max="11" width="12.7265625" customWidth="1"/>
    <col min="13" max="13" width="12.7265625" customWidth="1"/>
    <col min="21" max="21" width="27.363281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10</v>
      </c>
    </row>
    <row r="2" spans="1:28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120</v>
      </c>
      <c r="I2">
        <v>18.5</v>
      </c>
      <c r="J2">
        <v>0.08</v>
      </c>
      <c r="K2">
        <v>2042.4</v>
      </c>
      <c r="L2">
        <v>120</v>
      </c>
      <c r="M2">
        <v>2042.4</v>
      </c>
      <c r="N2" t="s">
        <v>104</v>
      </c>
      <c r="Q2" cm="1">
        <f t="array" aca="1" ref="Q2" ca="1">AVERAGE(INDEX($K$2:$K$37,_xlfn.RANDARRAY(5,1,1,36,TRUE)))</f>
        <v>2370.73</v>
      </c>
      <c r="T2" t="s">
        <v>109</v>
      </c>
      <c r="V2">
        <f>_xlfn.COVARIANCE.S(H2:H37,K2:K37)</f>
        <v>-18113.313452380957</v>
      </c>
    </row>
    <row r="3" spans="1:28" x14ac:dyDescent="0.3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>
        <v>210</v>
      </c>
      <c r="I3">
        <v>6.2</v>
      </c>
      <c r="J3">
        <v>0.05</v>
      </c>
      <c r="K3">
        <v>1236.9000000000001</v>
      </c>
      <c r="L3">
        <v>210</v>
      </c>
      <c r="M3">
        <v>1236.9000000000001</v>
      </c>
      <c r="N3" t="s">
        <v>105</v>
      </c>
      <c r="Q3">
        <f>AVERAGE(K2:K37)</f>
        <v>2649.4558333333339</v>
      </c>
      <c r="T3" s="17" t="s">
        <v>89</v>
      </c>
      <c r="U3" s="17" t="s">
        <v>110</v>
      </c>
    </row>
    <row r="4" spans="1:28" x14ac:dyDescent="0.35">
      <c r="A4" t="s">
        <v>24</v>
      </c>
      <c r="B4" t="s">
        <v>25</v>
      </c>
      <c r="C4" t="s">
        <v>26</v>
      </c>
      <c r="D4" t="s">
        <v>14</v>
      </c>
      <c r="E4" t="s">
        <v>15</v>
      </c>
      <c r="F4" t="s">
        <v>22</v>
      </c>
      <c r="G4" t="s">
        <v>27</v>
      </c>
      <c r="H4">
        <v>175</v>
      </c>
      <c r="I4">
        <v>9.8000000000000007</v>
      </c>
      <c r="J4">
        <v>7.0000000000000007E-2</v>
      </c>
      <c r="K4">
        <v>1594.95</v>
      </c>
      <c r="L4">
        <v>175</v>
      </c>
      <c r="M4">
        <v>1594.95</v>
      </c>
      <c r="N4" t="s">
        <v>106</v>
      </c>
      <c r="Q4">
        <f>_xlfn.STDEV.S(K2:K37)</f>
        <v>1062.8387221221014</v>
      </c>
      <c r="T4" s="7" t="s">
        <v>111</v>
      </c>
      <c r="U4" s="7" t="s">
        <v>112</v>
      </c>
    </row>
    <row r="5" spans="1:28" x14ac:dyDescent="0.35">
      <c r="A5" t="s">
        <v>11</v>
      </c>
      <c r="B5" t="s">
        <v>12</v>
      </c>
      <c r="C5" t="s">
        <v>28</v>
      </c>
      <c r="D5" t="s">
        <v>21</v>
      </c>
      <c r="E5" t="s">
        <v>15</v>
      </c>
      <c r="F5" t="s">
        <v>16</v>
      </c>
      <c r="G5" t="s">
        <v>17</v>
      </c>
      <c r="H5">
        <v>145</v>
      </c>
      <c r="I5">
        <v>11.4</v>
      </c>
      <c r="J5">
        <v>0.06</v>
      </c>
      <c r="K5">
        <v>1553.82</v>
      </c>
      <c r="L5">
        <v>145</v>
      </c>
      <c r="M5">
        <v>1553.82</v>
      </c>
      <c r="N5" t="s">
        <v>107</v>
      </c>
      <c r="Q5">
        <f>(AVERAGE(K2:K37)-2500)/(_xlfn.STDEV.S(K2:K37)/SQRT(COUNT(K2:K37)))</f>
        <v>0.84371690768807373</v>
      </c>
      <c r="R5">
        <f>(AVERAGE(K2:K37)-2500)/(_xlfn.STDEV.S(K2:K37)/SQRT(COUNT(K2:K37)))</f>
        <v>0.84371690768807373</v>
      </c>
      <c r="T5" s="7" t="s">
        <v>113</v>
      </c>
      <c r="U5" s="7" t="s">
        <v>109</v>
      </c>
      <c r="X5" t="s">
        <v>116</v>
      </c>
      <c r="Z5">
        <f>CORREL(H2:H37,K2:K37)</f>
        <v>-0.26278428063572695</v>
      </c>
    </row>
    <row r="6" spans="1:28" x14ac:dyDescent="0.3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22</v>
      </c>
      <c r="G6" t="s">
        <v>32</v>
      </c>
      <c r="H6">
        <v>260</v>
      </c>
      <c r="I6">
        <v>7.5</v>
      </c>
      <c r="J6">
        <v>0.1</v>
      </c>
      <c r="K6">
        <v>1755</v>
      </c>
      <c r="L6">
        <v>260</v>
      </c>
      <c r="M6">
        <v>1755</v>
      </c>
      <c r="N6" t="s">
        <v>108</v>
      </c>
      <c r="Q6" cm="1">
        <f t="array" ref="Q6:Q22">_xlfn._xlws.FILTER($K$2:$K$37,$F$2:$F$37="Hospital")</f>
        <v>2042.4</v>
      </c>
      <c r="R6" cm="1">
        <f t="array" ref="R6:R24">_xlfn._xlws.FILTER($K$2:$K$37,$F$2:$F$37="Pharmacy")</f>
        <v>1236.9000000000001</v>
      </c>
      <c r="T6" s="7" t="s">
        <v>114</v>
      </c>
      <c r="U6" t="s">
        <v>115</v>
      </c>
      <c r="X6" t="s">
        <v>117</v>
      </c>
      <c r="AA6">
        <f>SLOPE($K$2:$K$37,$H$2:$H$37)</f>
        <v>-4.3066105510451518</v>
      </c>
      <c r="AB6">
        <f>INTERCEPT($K$2:$K$37,$H$2:$H$37)</f>
        <v>3546.0682244467621</v>
      </c>
    </row>
    <row r="7" spans="1:28" x14ac:dyDescent="0.35">
      <c r="A7" t="s">
        <v>18</v>
      </c>
      <c r="B7" t="s">
        <v>19</v>
      </c>
      <c r="C7" t="s">
        <v>33</v>
      </c>
      <c r="D7" t="s">
        <v>21</v>
      </c>
      <c r="E7" t="s">
        <v>15</v>
      </c>
      <c r="F7" t="s">
        <v>16</v>
      </c>
      <c r="G7" t="s">
        <v>23</v>
      </c>
      <c r="H7">
        <v>95</v>
      </c>
      <c r="I7">
        <v>42</v>
      </c>
      <c r="J7">
        <v>0.05</v>
      </c>
      <c r="K7">
        <v>3790.5</v>
      </c>
      <c r="L7">
        <v>95</v>
      </c>
      <c r="M7">
        <v>3790.5</v>
      </c>
      <c r="Q7">
        <v>1553.82</v>
      </c>
      <c r="R7">
        <v>1594.95</v>
      </c>
    </row>
    <row r="8" spans="1:28" x14ac:dyDescent="0.35">
      <c r="A8" t="s">
        <v>11</v>
      </c>
      <c r="B8" t="s">
        <v>25</v>
      </c>
      <c r="C8" t="s">
        <v>34</v>
      </c>
      <c r="D8" t="s">
        <v>14</v>
      </c>
      <c r="E8" t="s">
        <v>15</v>
      </c>
      <c r="F8" t="s">
        <v>16</v>
      </c>
      <c r="G8" t="s">
        <v>27</v>
      </c>
      <c r="H8">
        <v>130</v>
      </c>
      <c r="I8">
        <v>22</v>
      </c>
      <c r="J8">
        <v>0.08</v>
      </c>
      <c r="K8">
        <v>2631.2</v>
      </c>
      <c r="L8">
        <v>130</v>
      </c>
      <c r="M8">
        <v>2631.2</v>
      </c>
      <c r="Q8">
        <v>3790.5</v>
      </c>
      <c r="R8">
        <v>1755</v>
      </c>
    </row>
    <row r="9" spans="1:28" x14ac:dyDescent="0.35">
      <c r="A9" t="s">
        <v>24</v>
      </c>
      <c r="B9" t="s">
        <v>30</v>
      </c>
      <c r="C9" t="s">
        <v>35</v>
      </c>
      <c r="D9" t="s">
        <v>21</v>
      </c>
      <c r="E9" t="s">
        <v>15</v>
      </c>
      <c r="F9" t="s">
        <v>22</v>
      </c>
      <c r="G9" t="s">
        <v>32</v>
      </c>
      <c r="H9">
        <v>190</v>
      </c>
      <c r="I9">
        <v>13.5</v>
      </c>
      <c r="J9">
        <v>7.0000000000000007E-2</v>
      </c>
      <c r="K9">
        <v>2385.4499999999998</v>
      </c>
      <c r="L9">
        <v>190</v>
      </c>
      <c r="M9">
        <v>2385.4499999999998</v>
      </c>
      <c r="Q9" s="18">
        <v>2631.2</v>
      </c>
      <c r="R9">
        <v>2385.4499999999998</v>
      </c>
    </row>
    <row r="10" spans="1:28" x14ac:dyDescent="0.35">
      <c r="A10" t="s">
        <v>29</v>
      </c>
      <c r="B10" t="s">
        <v>12</v>
      </c>
      <c r="C10" t="s">
        <v>13</v>
      </c>
      <c r="D10" t="s">
        <v>14</v>
      </c>
      <c r="E10" t="s">
        <v>15</v>
      </c>
      <c r="F10" t="s">
        <v>22</v>
      </c>
      <c r="G10" t="s">
        <v>17</v>
      </c>
      <c r="H10">
        <v>225</v>
      </c>
      <c r="I10">
        <v>18.5</v>
      </c>
      <c r="J10">
        <v>0.09</v>
      </c>
      <c r="K10">
        <v>3787.88</v>
      </c>
      <c r="L10">
        <v>225</v>
      </c>
      <c r="M10">
        <v>3787.88</v>
      </c>
      <c r="Q10">
        <v>1631.84</v>
      </c>
      <c r="R10">
        <v>3787.88</v>
      </c>
    </row>
    <row r="11" spans="1:28" x14ac:dyDescent="0.35">
      <c r="A11" t="s">
        <v>11</v>
      </c>
      <c r="B11" t="s">
        <v>19</v>
      </c>
      <c r="C11" t="s">
        <v>20</v>
      </c>
      <c r="D11" t="s">
        <v>21</v>
      </c>
      <c r="E11" t="s">
        <v>15</v>
      </c>
      <c r="F11" t="s">
        <v>16</v>
      </c>
      <c r="G11" t="s">
        <v>23</v>
      </c>
      <c r="H11">
        <v>280</v>
      </c>
      <c r="I11">
        <v>6.2</v>
      </c>
      <c r="J11">
        <v>0.06</v>
      </c>
      <c r="K11">
        <v>1631.84</v>
      </c>
      <c r="L11">
        <v>280</v>
      </c>
      <c r="M11">
        <v>1631.84</v>
      </c>
      <c r="Q11">
        <v>1678.08</v>
      </c>
      <c r="R11">
        <v>1908.55</v>
      </c>
    </row>
    <row r="12" spans="1:28" x14ac:dyDescent="0.35">
      <c r="A12" t="s">
        <v>18</v>
      </c>
      <c r="B12" t="s">
        <v>25</v>
      </c>
      <c r="C12" t="s">
        <v>26</v>
      </c>
      <c r="D12" t="s">
        <v>14</v>
      </c>
      <c r="E12" t="s">
        <v>15</v>
      </c>
      <c r="F12" t="s">
        <v>22</v>
      </c>
      <c r="G12" t="s">
        <v>27</v>
      </c>
      <c r="H12">
        <v>205</v>
      </c>
      <c r="I12">
        <v>9.8000000000000007</v>
      </c>
      <c r="J12">
        <v>0.05</v>
      </c>
      <c r="K12">
        <v>1908.55</v>
      </c>
      <c r="L12">
        <v>205</v>
      </c>
      <c r="M12">
        <v>1908.55</v>
      </c>
      <c r="Q12">
        <v>4342.8</v>
      </c>
      <c r="R12">
        <v>2046</v>
      </c>
    </row>
    <row r="13" spans="1:28" x14ac:dyDescent="0.35">
      <c r="A13" t="s">
        <v>24</v>
      </c>
      <c r="B13" t="s">
        <v>12</v>
      </c>
      <c r="C13" t="s">
        <v>28</v>
      </c>
      <c r="D13" t="s">
        <v>21</v>
      </c>
      <c r="E13" t="s">
        <v>15</v>
      </c>
      <c r="F13" t="s">
        <v>16</v>
      </c>
      <c r="G13" t="s">
        <v>17</v>
      </c>
      <c r="H13">
        <v>160</v>
      </c>
      <c r="I13">
        <v>11.4</v>
      </c>
      <c r="J13">
        <v>0.08</v>
      </c>
      <c r="K13">
        <v>1678.08</v>
      </c>
      <c r="L13">
        <v>160</v>
      </c>
      <c r="M13">
        <v>1678.08</v>
      </c>
      <c r="Q13">
        <v>3171.3</v>
      </c>
      <c r="R13">
        <v>3996</v>
      </c>
    </row>
    <row r="14" spans="1:28" x14ac:dyDescent="0.35">
      <c r="A14" t="s">
        <v>29</v>
      </c>
      <c r="B14" t="s">
        <v>30</v>
      </c>
      <c r="C14" t="s">
        <v>31</v>
      </c>
      <c r="D14" t="s">
        <v>14</v>
      </c>
      <c r="E14" t="s">
        <v>15</v>
      </c>
      <c r="F14" t="s">
        <v>22</v>
      </c>
      <c r="G14" t="s">
        <v>32</v>
      </c>
      <c r="H14">
        <v>310</v>
      </c>
      <c r="I14">
        <v>7.5</v>
      </c>
      <c r="J14">
        <v>0.12</v>
      </c>
      <c r="K14">
        <v>2046</v>
      </c>
      <c r="L14">
        <v>310</v>
      </c>
      <c r="M14">
        <v>2046</v>
      </c>
      <c r="Q14">
        <v>1887.84</v>
      </c>
      <c r="R14">
        <v>2886.98</v>
      </c>
    </row>
    <row r="15" spans="1:28" x14ac:dyDescent="0.35">
      <c r="A15" t="s">
        <v>11</v>
      </c>
      <c r="B15" t="s">
        <v>19</v>
      </c>
      <c r="C15" t="s">
        <v>33</v>
      </c>
      <c r="D15" t="s">
        <v>21</v>
      </c>
      <c r="E15" t="s">
        <v>15</v>
      </c>
      <c r="F15" t="s">
        <v>16</v>
      </c>
      <c r="G15" t="s">
        <v>23</v>
      </c>
      <c r="H15">
        <v>110</v>
      </c>
      <c r="I15">
        <v>42</v>
      </c>
      <c r="J15">
        <v>0.06</v>
      </c>
      <c r="K15">
        <v>4342.8</v>
      </c>
      <c r="L15">
        <v>110</v>
      </c>
      <c r="M15">
        <v>4342.8</v>
      </c>
      <c r="Q15">
        <v>4189.5</v>
      </c>
      <c r="R15">
        <v>1719.26</v>
      </c>
    </row>
    <row r="16" spans="1:28" x14ac:dyDescent="0.35">
      <c r="A16" t="s">
        <v>18</v>
      </c>
      <c r="B16" t="s">
        <v>12</v>
      </c>
      <c r="C16" t="s">
        <v>34</v>
      </c>
      <c r="D16" t="s">
        <v>14</v>
      </c>
      <c r="E16" t="s">
        <v>15</v>
      </c>
      <c r="F16" t="s">
        <v>22</v>
      </c>
      <c r="G16" t="s">
        <v>17</v>
      </c>
      <c r="H16">
        <v>240</v>
      </c>
      <c r="I16">
        <v>18.5</v>
      </c>
      <c r="J16">
        <v>0.1</v>
      </c>
      <c r="K16">
        <v>3996</v>
      </c>
      <c r="L16">
        <v>240</v>
      </c>
      <c r="M16">
        <v>3996</v>
      </c>
      <c r="Q16">
        <v>4208.75</v>
      </c>
      <c r="R16">
        <v>1983.52</v>
      </c>
    </row>
    <row r="17" spans="1:18" x14ac:dyDescent="0.35">
      <c r="A17" t="s">
        <v>24</v>
      </c>
      <c r="B17" t="s">
        <v>25</v>
      </c>
      <c r="C17" t="s">
        <v>35</v>
      </c>
      <c r="D17" t="s">
        <v>21</v>
      </c>
      <c r="E17" t="s">
        <v>15</v>
      </c>
      <c r="F17" t="s">
        <v>16</v>
      </c>
      <c r="G17" t="s">
        <v>27</v>
      </c>
      <c r="H17">
        <v>155</v>
      </c>
      <c r="I17">
        <v>22</v>
      </c>
      <c r="J17">
        <v>7.0000000000000007E-2</v>
      </c>
      <c r="K17">
        <v>3171.3</v>
      </c>
      <c r="L17">
        <v>155</v>
      </c>
      <c r="M17">
        <v>3171.3</v>
      </c>
      <c r="Q17">
        <v>2864.4</v>
      </c>
      <c r="R17">
        <v>1856.25</v>
      </c>
    </row>
    <row r="18" spans="1:18" x14ac:dyDescent="0.35">
      <c r="A18" t="s">
        <v>11</v>
      </c>
      <c r="B18" t="s">
        <v>30</v>
      </c>
      <c r="C18" t="s">
        <v>13</v>
      </c>
      <c r="D18" t="s">
        <v>14</v>
      </c>
      <c r="E18" t="s">
        <v>15</v>
      </c>
      <c r="F18" t="s">
        <v>22</v>
      </c>
      <c r="G18" t="s">
        <v>32</v>
      </c>
      <c r="H18">
        <v>235</v>
      </c>
      <c r="I18">
        <v>13.5</v>
      </c>
      <c r="J18">
        <v>0.09</v>
      </c>
      <c r="K18">
        <v>2886.98</v>
      </c>
      <c r="L18">
        <v>235</v>
      </c>
      <c r="M18">
        <v>2886.98</v>
      </c>
      <c r="Q18">
        <v>4461.28</v>
      </c>
      <c r="R18">
        <v>1782.96</v>
      </c>
    </row>
    <row r="19" spans="1:18" x14ac:dyDescent="0.35">
      <c r="A19" t="s">
        <v>29</v>
      </c>
      <c r="B19" t="s">
        <v>12</v>
      </c>
      <c r="C19" t="s">
        <v>20</v>
      </c>
      <c r="D19" t="s">
        <v>21</v>
      </c>
      <c r="E19" t="s">
        <v>15</v>
      </c>
      <c r="F19" t="s">
        <v>16</v>
      </c>
      <c r="G19" t="s">
        <v>17</v>
      </c>
      <c r="H19">
        <v>180</v>
      </c>
      <c r="I19">
        <v>11.4</v>
      </c>
      <c r="J19">
        <v>0.08</v>
      </c>
      <c r="K19">
        <v>1887.84</v>
      </c>
      <c r="L19">
        <v>180</v>
      </c>
      <c r="M19">
        <v>1887.84</v>
      </c>
      <c r="Q19">
        <v>4987.5</v>
      </c>
      <c r="R19">
        <v>2976.75</v>
      </c>
    </row>
    <row r="20" spans="1:18" x14ac:dyDescent="0.35">
      <c r="A20" t="s">
        <v>18</v>
      </c>
      <c r="B20" t="s">
        <v>19</v>
      </c>
      <c r="C20" t="s">
        <v>26</v>
      </c>
      <c r="D20" t="s">
        <v>14</v>
      </c>
      <c r="E20" t="s">
        <v>15</v>
      </c>
      <c r="F20" t="s">
        <v>22</v>
      </c>
      <c r="G20" t="s">
        <v>23</v>
      </c>
      <c r="H20">
        <v>295</v>
      </c>
      <c r="I20">
        <v>6.2</v>
      </c>
      <c r="J20">
        <v>0.06</v>
      </c>
      <c r="K20">
        <v>1719.26</v>
      </c>
      <c r="L20">
        <v>295</v>
      </c>
      <c r="M20">
        <v>1719.26</v>
      </c>
      <c r="Q20">
        <v>3102</v>
      </c>
      <c r="R20">
        <v>1864.96</v>
      </c>
    </row>
    <row r="21" spans="1:18" x14ac:dyDescent="0.35">
      <c r="A21" t="s">
        <v>11</v>
      </c>
      <c r="B21" t="s">
        <v>25</v>
      </c>
      <c r="C21" t="s">
        <v>28</v>
      </c>
      <c r="D21" t="s">
        <v>21</v>
      </c>
      <c r="E21" t="s">
        <v>15</v>
      </c>
      <c r="F21" t="s">
        <v>22</v>
      </c>
      <c r="G21" t="s">
        <v>27</v>
      </c>
      <c r="H21">
        <v>220</v>
      </c>
      <c r="I21">
        <v>9.8000000000000007</v>
      </c>
      <c r="J21">
        <v>0.08</v>
      </c>
      <c r="K21">
        <v>1983.52</v>
      </c>
      <c r="L21">
        <v>220</v>
      </c>
      <c r="M21">
        <v>1983.52</v>
      </c>
      <c r="Q21">
        <v>2045.16</v>
      </c>
      <c r="R21">
        <v>2096.2199999999998</v>
      </c>
    </row>
    <row r="22" spans="1:18" x14ac:dyDescent="0.35">
      <c r="A22" t="s">
        <v>24</v>
      </c>
      <c r="B22" t="s">
        <v>30</v>
      </c>
      <c r="C22" t="s">
        <v>31</v>
      </c>
      <c r="D22" t="s">
        <v>14</v>
      </c>
      <c r="E22" t="s">
        <v>15</v>
      </c>
      <c r="F22" t="s">
        <v>22</v>
      </c>
      <c r="G22" t="s">
        <v>32</v>
      </c>
      <c r="H22">
        <v>275</v>
      </c>
      <c r="I22">
        <v>7.5</v>
      </c>
      <c r="J22">
        <v>0.1</v>
      </c>
      <c r="K22">
        <v>1856.25</v>
      </c>
      <c r="L22">
        <v>275</v>
      </c>
      <c r="M22">
        <v>1856.25</v>
      </c>
      <c r="Q22">
        <v>4578.75</v>
      </c>
      <c r="R22">
        <v>1935.75</v>
      </c>
    </row>
    <row r="23" spans="1:18" x14ac:dyDescent="0.35">
      <c r="A23" t="s">
        <v>29</v>
      </c>
      <c r="B23" t="s">
        <v>19</v>
      </c>
      <c r="C23" t="s">
        <v>33</v>
      </c>
      <c r="D23" t="s">
        <v>21</v>
      </c>
      <c r="E23" t="s">
        <v>15</v>
      </c>
      <c r="F23" t="s">
        <v>16</v>
      </c>
      <c r="G23" t="s">
        <v>23</v>
      </c>
      <c r="H23">
        <v>105</v>
      </c>
      <c r="I23">
        <v>42</v>
      </c>
      <c r="J23">
        <v>0.05</v>
      </c>
      <c r="K23">
        <v>4189.5</v>
      </c>
      <c r="L23">
        <v>105</v>
      </c>
      <c r="M23">
        <v>4189.5</v>
      </c>
      <c r="R23">
        <v>2641.28</v>
      </c>
    </row>
    <row r="24" spans="1:18" x14ac:dyDescent="0.35">
      <c r="A24" t="s">
        <v>11</v>
      </c>
      <c r="B24" t="s">
        <v>12</v>
      </c>
      <c r="C24" t="s">
        <v>34</v>
      </c>
      <c r="D24" t="s">
        <v>14</v>
      </c>
      <c r="E24" t="s">
        <v>15</v>
      </c>
      <c r="F24" t="s">
        <v>16</v>
      </c>
      <c r="G24" t="s">
        <v>17</v>
      </c>
      <c r="H24">
        <v>250</v>
      </c>
      <c r="I24">
        <v>18.5</v>
      </c>
      <c r="J24">
        <v>0.09</v>
      </c>
      <c r="K24">
        <v>4208.75</v>
      </c>
      <c r="L24">
        <v>250</v>
      </c>
      <c r="M24">
        <v>4208.75</v>
      </c>
      <c r="R24">
        <v>1758.63</v>
      </c>
    </row>
    <row r="25" spans="1:18" x14ac:dyDescent="0.35">
      <c r="A25" t="s">
        <v>18</v>
      </c>
      <c r="B25" t="s">
        <v>25</v>
      </c>
      <c r="C25" t="s">
        <v>35</v>
      </c>
      <c r="D25" t="s">
        <v>21</v>
      </c>
      <c r="E25" t="s">
        <v>15</v>
      </c>
      <c r="F25" t="s">
        <v>16</v>
      </c>
      <c r="G25" t="s">
        <v>27</v>
      </c>
      <c r="H25">
        <v>140</v>
      </c>
      <c r="I25">
        <v>22</v>
      </c>
      <c r="J25">
        <v>7.0000000000000007E-2</v>
      </c>
      <c r="K25">
        <v>2864.4</v>
      </c>
      <c r="L25">
        <v>140</v>
      </c>
      <c r="M25">
        <v>2864.4</v>
      </c>
    </row>
    <row r="26" spans="1:18" x14ac:dyDescent="0.35">
      <c r="A26" t="s">
        <v>24</v>
      </c>
      <c r="B26" t="s">
        <v>12</v>
      </c>
      <c r="C26" t="s">
        <v>13</v>
      </c>
      <c r="D26" t="s">
        <v>14</v>
      </c>
      <c r="E26" t="s">
        <v>15</v>
      </c>
      <c r="F26" t="s">
        <v>22</v>
      </c>
      <c r="G26" t="s">
        <v>17</v>
      </c>
      <c r="H26">
        <v>170</v>
      </c>
      <c r="I26">
        <v>11.4</v>
      </c>
      <c r="J26">
        <v>0.08</v>
      </c>
      <c r="K26">
        <v>1782.96</v>
      </c>
      <c r="L26">
        <v>170</v>
      </c>
      <c r="M26">
        <v>1782.96</v>
      </c>
    </row>
    <row r="27" spans="1:18" x14ac:dyDescent="0.35">
      <c r="A27" t="s">
        <v>11</v>
      </c>
      <c r="B27" t="s">
        <v>30</v>
      </c>
      <c r="C27" t="s">
        <v>20</v>
      </c>
      <c r="D27" t="s">
        <v>21</v>
      </c>
      <c r="E27" t="s">
        <v>15</v>
      </c>
      <c r="F27" t="s">
        <v>22</v>
      </c>
      <c r="G27" t="s">
        <v>32</v>
      </c>
      <c r="H27">
        <v>245</v>
      </c>
      <c r="I27">
        <v>13.5</v>
      </c>
      <c r="J27">
        <v>0.1</v>
      </c>
      <c r="K27">
        <v>2976.75</v>
      </c>
      <c r="L27">
        <v>245</v>
      </c>
      <c r="M27">
        <v>2976.75</v>
      </c>
    </row>
    <row r="28" spans="1:18" x14ac:dyDescent="0.35">
      <c r="A28" t="s">
        <v>29</v>
      </c>
      <c r="B28" t="s">
        <v>19</v>
      </c>
      <c r="C28" t="s">
        <v>26</v>
      </c>
      <c r="D28" t="s">
        <v>14</v>
      </c>
      <c r="E28" t="s">
        <v>15</v>
      </c>
      <c r="F28" t="s">
        <v>22</v>
      </c>
      <c r="G28" t="s">
        <v>23</v>
      </c>
      <c r="H28">
        <v>320</v>
      </c>
      <c r="I28">
        <v>6.2</v>
      </c>
      <c r="J28">
        <v>0.06</v>
      </c>
      <c r="K28">
        <v>1864.96</v>
      </c>
      <c r="L28">
        <v>320</v>
      </c>
      <c r="M28">
        <v>1864.96</v>
      </c>
    </row>
    <row r="29" spans="1:18" x14ac:dyDescent="0.35">
      <c r="A29" t="s">
        <v>18</v>
      </c>
      <c r="B29" t="s">
        <v>12</v>
      </c>
      <c r="C29" t="s">
        <v>28</v>
      </c>
      <c r="D29" t="s">
        <v>21</v>
      </c>
      <c r="E29" t="s">
        <v>15</v>
      </c>
      <c r="F29" t="s">
        <v>16</v>
      </c>
      <c r="G29" t="s">
        <v>17</v>
      </c>
      <c r="H29">
        <v>265</v>
      </c>
      <c r="I29">
        <v>18.5</v>
      </c>
      <c r="J29">
        <v>0.09</v>
      </c>
      <c r="K29">
        <v>4461.28</v>
      </c>
      <c r="L29">
        <v>265</v>
      </c>
      <c r="M29">
        <v>4461.28</v>
      </c>
    </row>
    <row r="30" spans="1:18" x14ac:dyDescent="0.35">
      <c r="A30" t="s">
        <v>24</v>
      </c>
      <c r="B30" t="s">
        <v>25</v>
      </c>
      <c r="C30" t="s">
        <v>31</v>
      </c>
      <c r="D30" t="s">
        <v>14</v>
      </c>
      <c r="E30" t="s">
        <v>15</v>
      </c>
      <c r="F30" t="s">
        <v>22</v>
      </c>
      <c r="G30" t="s">
        <v>27</v>
      </c>
      <c r="H30">
        <v>230</v>
      </c>
      <c r="I30">
        <v>9.8000000000000007</v>
      </c>
      <c r="J30">
        <v>7.0000000000000007E-2</v>
      </c>
      <c r="K30">
        <v>2096.2199999999998</v>
      </c>
      <c r="L30">
        <v>230</v>
      </c>
      <c r="M30">
        <v>2096.2199999999998</v>
      </c>
    </row>
    <row r="31" spans="1:18" x14ac:dyDescent="0.35">
      <c r="A31" t="s">
        <v>11</v>
      </c>
      <c r="B31" t="s">
        <v>19</v>
      </c>
      <c r="C31" t="s">
        <v>33</v>
      </c>
      <c r="D31" t="s">
        <v>21</v>
      </c>
      <c r="E31" t="s">
        <v>15</v>
      </c>
      <c r="F31" t="s">
        <v>16</v>
      </c>
      <c r="G31" t="s">
        <v>23</v>
      </c>
      <c r="H31">
        <v>125</v>
      </c>
      <c r="I31">
        <v>42</v>
      </c>
      <c r="J31">
        <v>0.05</v>
      </c>
      <c r="K31">
        <v>4987.5</v>
      </c>
      <c r="L31">
        <v>125</v>
      </c>
      <c r="M31">
        <v>4987.5</v>
      </c>
    </row>
    <row r="32" spans="1:18" x14ac:dyDescent="0.35">
      <c r="A32" t="s">
        <v>29</v>
      </c>
      <c r="B32" t="s">
        <v>30</v>
      </c>
      <c r="C32" t="s">
        <v>34</v>
      </c>
      <c r="D32" t="s">
        <v>14</v>
      </c>
      <c r="E32" t="s">
        <v>15</v>
      </c>
      <c r="F32" t="s">
        <v>22</v>
      </c>
      <c r="G32" t="s">
        <v>32</v>
      </c>
      <c r="H32">
        <v>290</v>
      </c>
      <c r="I32">
        <v>7.5</v>
      </c>
      <c r="J32">
        <v>0.11</v>
      </c>
      <c r="K32">
        <v>1935.75</v>
      </c>
      <c r="L32">
        <v>290</v>
      </c>
      <c r="M32">
        <v>1935.75</v>
      </c>
    </row>
    <row r="33" spans="1:13" x14ac:dyDescent="0.35">
      <c r="A33" t="s">
        <v>18</v>
      </c>
      <c r="B33" t="s">
        <v>25</v>
      </c>
      <c r="C33" t="s">
        <v>35</v>
      </c>
      <c r="D33" t="s">
        <v>21</v>
      </c>
      <c r="E33" t="s">
        <v>15</v>
      </c>
      <c r="F33" t="s">
        <v>16</v>
      </c>
      <c r="G33" t="s">
        <v>27</v>
      </c>
      <c r="H33">
        <v>150</v>
      </c>
      <c r="I33">
        <v>22</v>
      </c>
      <c r="J33">
        <v>0.06</v>
      </c>
      <c r="K33">
        <v>3102</v>
      </c>
      <c r="L33">
        <v>150</v>
      </c>
      <c r="M33">
        <v>3102</v>
      </c>
    </row>
    <row r="34" spans="1:13" x14ac:dyDescent="0.3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>
        <v>195</v>
      </c>
      <c r="I34">
        <v>11.4</v>
      </c>
      <c r="J34">
        <v>0.08</v>
      </c>
      <c r="K34">
        <v>2045.16</v>
      </c>
      <c r="L34">
        <v>195</v>
      </c>
      <c r="M34">
        <v>2045.16</v>
      </c>
    </row>
    <row r="35" spans="1:13" x14ac:dyDescent="0.35">
      <c r="A35" t="s">
        <v>24</v>
      </c>
      <c r="B35" t="s">
        <v>30</v>
      </c>
      <c r="C35" t="s">
        <v>20</v>
      </c>
      <c r="D35" t="s">
        <v>21</v>
      </c>
      <c r="E35" t="s">
        <v>15</v>
      </c>
      <c r="F35" t="s">
        <v>22</v>
      </c>
      <c r="G35" t="s">
        <v>32</v>
      </c>
      <c r="H35">
        <v>215</v>
      </c>
      <c r="I35">
        <v>13.5</v>
      </c>
      <c r="J35">
        <v>0.09</v>
      </c>
      <c r="K35">
        <v>2641.28</v>
      </c>
      <c r="L35">
        <v>215</v>
      </c>
      <c r="M35">
        <v>2641.28</v>
      </c>
    </row>
    <row r="36" spans="1:13" x14ac:dyDescent="0.35">
      <c r="A36" t="s">
        <v>29</v>
      </c>
      <c r="B36" t="s">
        <v>19</v>
      </c>
      <c r="C36" t="s">
        <v>26</v>
      </c>
      <c r="D36" t="s">
        <v>14</v>
      </c>
      <c r="E36" t="s">
        <v>15</v>
      </c>
      <c r="F36" t="s">
        <v>22</v>
      </c>
      <c r="G36" t="s">
        <v>23</v>
      </c>
      <c r="H36">
        <v>305</v>
      </c>
      <c r="I36">
        <v>6.2</v>
      </c>
      <c r="J36">
        <v>7.0000000000000007E-2</v>
      </c>
      <c r="K36">
        <v>1758.63</v>
      </c>
      <c r="L36">
        <v>305</v>
      </c>
      <c r="M36">
        <v>1758.63</v>
      </c>
    </row>
    <row r="37" spans="1:13" x14ac:dyDescent="0.35">
      <c r="A37" t="s">
        <v>11</v>
      </c>
      <c r="B37" t="s">
        <v>12</v>
      </c>
      <c r="C37" t="s">
        <v>28</v>
      </c>
      <c r="D37" t="s">
        <v>21</v>
      </c>
      <c r="E37" t="s">
        <v>15</v>
      </c>
      <c r="F37" t="s">
        <v>16</v>
      </c>
      <c r="G37" t="s">
        <v>17</v>
      </c>
      <c r="H37">
        <v>275</v>
      </c>
      <c r="I37">
        <v>18.5</v>
      </c>
      <c r="J37">
        <v>0.1</v>
      </c>
      <c r="K37">
        <v>4578.75</v>
      </c>
      <c r="L37">
        <v>275</v>
      </c>
      <c r="M37">
        <v>4578.75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Business_Statistics_Project</vt:lpstr>
      <vt:lpstr> Data Distribution</vt:lpstr>
      <vt:lpstr>Probability</vt:lpstr>
      <vt:lpstr>Inferential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Venky Venky</cp:lastModifiedBy>
  <dcterms:created xsi:type="dcterms:W3CDTF">2026-09-20T10:10:24Z</dcterms:created>
  <dcterms:modified xsi:type="dcterms:W3CDTF">2026-09-21T13:36:03Z</dcterms:modified>
</cp:coreProperties>
</file>